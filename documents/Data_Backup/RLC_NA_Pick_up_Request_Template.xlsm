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2055" yWindow="135" windowWidth="18975" windowHeight="8130"/>
  </bookViews>
  <sheets>
    <sheet name="POR_TEMPLATE" sheetId="1" r:id="rId1"/>
    <sheet name="WH_List" sheetId="2" state="hidden" r:id="rId2"/>
    <sheet name="Item_List" sheetId="3" state="hidden" r:id="rId3"/>
    <sheet name="Raw_ShipInfo" sheetId="4" state="hidden" r:id="rId4"/>
    <sheet name="Raw_ItemInfo" sheetId="5" state="hidden" r:id="rId5"/>
    <sheet name="Sheet1" sheetId="6" r:id="rId6"/>
  </sheets>
  <definedNames>
    <definedName name="_xlnm._FilterDatabase" localSheetId="1" hidden="1">WH_List!$A$1:$G$1</definedName>
    <definedName name="Items">Item_List!$A$2:$B$5064</definedName>
    <definedName name="tbl_POR_Info">Raw_ShipInfo!$A$1:$W$2</definedName>
    <definedName name="tbl_POR_Items">Raw_ItemInfo!$A$1:$F$101</definedName>
    <definedName name="WORG">WH_List!$A$2:$A$25</definedName>
    <definedName name="WORG_TABLE">WH_List!$A$2:$G$25</definedName>
  </definedNames>
  <calcPr calcId="125725"/>
</workbook>
</file>

<file path=xl/calcChain.xml><?xml version="1.0" encoding="utf-8"?>
<calcChain xmlns="http://schemas.openxmlformats.org/spreadsheetml/2006/main">
  <c r="O17" i="1"/>
  <c r="O15"/>
  <c r="O13"/>
  <c r="O11"/>
  <c r="O9"/>
  <c r="P7"/>
  <c r="W2" i="4"/>
  <c r="V2"/>
  <c r="U2"/>
  <c r="T2"/>
  <c r="F101" i="5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W133" i="1"/>
  <c r="W132"/>
  <c r="W131"/>
  <c r="W130"/>
  <c r="W129"/>
  <c r="W128"/>
  <c r="W127"/>
  <c r="W126"/>
  <c r="W125"/>
  <c r="W124"/>
  <c r="W123"/>
  <c r="W122"/>
  <c r="W121"/>
  <c r="W120"/>
  <c r="W119"/>
  <c r="W118"/>
  <c r="W117"/>
  <c r="W116"/>
  <c r="W115"/>
  <c r="W114"/>
  <c r="W113"/>
  <c r="W112"/>
  <c r="W111"/>
  <c r="W110"/>
  <c r="W109"/>
  <c r="W108"/>
  <c r="W107"/>
  <c r="W106"/>
  <c r="W105"/>
  <c r="W104"/>
  <c r="W103"/>
  <c r="W102"/>
  <c r="W101"/>
  <c r="W100"/>
  <c r="W99"/>
  <c r="W98"/>
  <c r="W97"/>
  <c r="W96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54"/>
  <c r="W53"/>
  <c r="W52"/>
  <c r="W51"/>
  <c r="W50"/>
  <c r="W49"/>
  <c r="W48"/>
  <c r="W47"/>
  <c r="W46"/>
  <c r="W45"/>
  <c r="W44"/>
  <c r="W43"/>
  <c r="W42"/>
  <c r="W41"/>
  <c r="W40"/>
  <c r="W39"/>
  <c r="W38"/>
  <c r="W37"/>
  <c r="W36"/>
  <c r="W35"/>
  <c r="W34"/>
  <c r="E2" i="5"/>
  <c r="S2" i="4"/>
  <c r="R2"/>
  <c r="Q2"/>
  <c r="P2"/>
  <c r="O2"/>
  <c r="H2"/>
  <c r="F2" i="5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2" i="4"/>
  <c r="G34" i="1"/>
  <c r="C2" i="5" s="1"/>
  <c r="G133" i="1"/>
  <c r="C101" i="5" s="1"/>
  <c r="G132" i="1"/>
  <c r="C100" i="5" s="1"/>
  <c r="G131" i="1"/>
  <c r="C99" i="5" s="1"/>
  <c r="G130" i="1"/>
  <c r="C98" i="5" s="1"/>
  <c r="G129" i="1"/>
  <c r="C97" i="5" s="1"/>
  <c r="G128" i="1"/>
  <c r="C96" i="5" s="1"/>
  <c r="G127" i="1"/>
  <c r="C95" i="5" s="1"/>
  <c r="G126" i="1"/>
  <c r="C94" i="5" s="1"/>
  <c r="G125" i="1"/>
  <c r="C93" i="5" s="1"/>
  <c r="G124" i="1"/>
  <c r="C92" i="5" s="1"/>
  <c r="G123" i="1"/>
  <c r="C91" i="5" s="1"/>
  <c r="G122" i="1"/>
  <c r="C90" i="5" s="1"/>
  <c r="G121" i="1"/>
  <c r="C89" i="5" s="1"/>
  <c r="G120" i="1"/>
  <c r="C88" i="5" s="1"/>
  <c r="G119" i="1"/>
  <c r="C87" i="5" s="1"/>
  <c r="G118" i="1"/>
  <c r="C86" i="5" s="1"/>
  <c r="G117" i="1"/>
  <c r="C85" i="5" s="1"/>
  <c r="G116" i="1"/>
  <c r="C84" i="5" s="1"/>
  <c r="G115" i="1"/>
  <c r="C83" i="5" s="1"/>
  <c r="G114" i="1"/>
  <c r="C82" i="5" s="1"/>
  <c r="G113" i="1"/>
  <c r="C81" i="5" s="1"/>
  <c r="G112" i="1"/>
  <c r="C80" i="5" s="1"/>
  <c r="G111" i="1"/>
  <c r="C79" i="5" s="1"/>
  <c r="G110" i="1"/>
  <c r="C78" i="5" s="1"/>
  <c r="G109" i="1"/>
  <c r="C77" i="5" s="1"/>
  <c r="G108" i="1"/>
  <c r="C76" i="5" s="1"/>
  <c r="G107" i="1"/>
  <c r="C75" i="5" s="1"/>
  <c r="G106" i="1"/>
  <c r="C74" i="5" s="1"/>
  <c r="G105" i="1"/>
  <c r="C73" i="5" s="1"/>
  <c r="G104" i="1"/>
  <c r="C72" i="5" s="1"/>
  <c r="G103" i="1"/>
  <c r="C71" i="5" s="1"/>
  <c r="G102" i="1"/>
  <c r="C70" i="5" s="1"/>
  <c r="G101" i="1"/>
  <c r="C69" i="5" s="1"/>
  <c r="G100" i="1"/>
  <c r="C68" i="5" s="1"/>
  <c r="G99" i="1"/>
  <c r="C67" i="5" s="1"/>
  <c r="G98" i="1"/>
  <c r="C66" i="5" s="1"/>
  <c r="G97" i="1"/>
  <c r="C65" i="5" s="1"/>
  <c r="G96" i="1"/>
  <c r="C64" i="5" s="1"/>
  <c r="G95" i="1"/>
  <c r="C63" i="5" s="1"/>
  <c r="G94" i="1"/>
  <c r="C62" i="5" s="1"/>
  <c r="G93" i="1"/>
  <c r="C61" i="5" s="1"/>
  <c r="G92" i="1"/>
  <c r="C60" i="5" s="1"/>
  <c r="G91" i="1"/>
  <c r="C59" i="5" s="1"/>
  <c r="G90" i="1"/>
  <c r="C58" i="5" s="1"/>
  <c r="G89" i="1"/>
  <c r="C57" i="5" s="1"/>
  <c r="G88" i="1"/>
  <c r="C56" i="5" s="1"/>
  <c r="G87" i="1"/>
  <c r="C55" i="5" s="1"/>
  <c r="G86" i="1"/>
  <c r="C54" i="5" s="1"/>
  <c r="G85" i="1"/>
  <c r="C53" i="5" s="1"/>
  <c r="G84" i="1"/>
  <c r="C52" i="5" s="1"/>
  <c r="G83" i="1"/>
  <c r="C51" i="5" s="1"/>
  <c r="G82" i="1"/>
  <c r="C50" i="5" s="1"/>
  <c r="G81" i="1"/>
  <c r="C49" i="5" s="1"/>
  <c r="G80" i="1"/>
  <c r="C48" i="5" s="1"/>
  <c r="G79" i="1"/>
  <c r="C47" i="5" s="1"/>
  <c r="G78" i="1"/>
  <c r="C46" i="5" s="1"/>
  <c r="G77" i="1"/>
  <c r="C45" i="5" s="1"/>
  <c r="G76" i="1"/>
  <c r="C44" i="5" s="1"/>
  <c r="G75" i="1"/>
  <c r="C43" i="5" s="1"/>
  <c r="G74" i="1"/>
  <c r="C42" i="5" s="1"/>
  <c r="G73" i="1"/>
  <c r="C41" i="5" s="1"/>
  <c r="G72" i="1"/>
  <c r="C40" i="5" s="1"/>
  <c r="G71" i="1"/>
  <c r="C39" i="5" s="1"/>
  <c r="G70" i="1"/>
  <c r="C38" i="5" s="1"/>
  <c r="G69" i="1"/>
  <c r="C37" i="5" s="1"/>
  <c r="G68" i="1"/>
  <c r="C36" i="5" s="1"/>
  <c r="G67" i="1"/>
  <c r="C35" i="5" s="1"/>
  <c r="G66" i="1"/>
  <c r="C34" i="5" s="1"/>
  <c r="G65" i="1"/>
  <c r="C33" i="5" s="1"/>
  <c r="G64" i="1"/>
  <c r="C32" i="5" s="1"/>
  <c r="G63" i="1"/>
  <c r="C31" i="5" s="1"/>
  <c r="G62" i="1"/>
  <c r="C30" i="5" s="1"/>
  <c r="G61" i="1"/>
  <c r="C29" i="5" s="1"/>
  <c r="G60" i="1"/>
  <c r="C28" i="5" s="1"/>
  <c r="G59" i="1"/>
  <c r="C27" i="5" s="1"/>
  <c r="G58" i="1"/>
  <c r="C26" i="5" s="1"/>
  <c r="G57" i="1"/>
  <c r="C25" i="5" s="1"/>
  <c r="G56" i="1"/>
  <c r="C24" i="5" s="1"/>
  <c r="G55" i="1"/>
  <c r="C23" i="5" s="1"/>
  <c r="G54" i="1"/>
  <c r="C22" i="5" s="1"/>
  <c r="G53" i="1"/>
  <c r="C21" i="5" s="1"/>
  <c r="G52" i="1"/>
  <c r="C20" i="5" s="1"/>
  <c r="G51" i="1"/>
  <c r="C19" i="5" s="1"/>
  <c r="G50" i="1"/>
  <c r="C18" i="5" s="1"/>
  <c r="G49" i="1"/>
  <c r="C17" i="5" s="1"/>
  <c r="G48" i="1"/>
  <c r="C16" i="5" s="1"/>
  <c r="G47" i="1"/>
  <c r="C15" i="5" s="1"/>
  <c r="G46" i="1"/>
  <c r="C14" i="5" s="1"/>
  <c r="G45" i="1"/>
  <c r="C13" i="5" s="1"/>
  <c r="G44" i="1"/>
  <c r="C12" i="5" s="1"/>
  <c r="G43" i="1"/>
  <c r="C11" i="5" s="1"/>
  <c r="G42" i="1"/>
  <c r="C10" i="5" s="1"/>
  <c r="G41" i="1"/>
  <c r="C9" i="5" s="1"/>
  <c r="G40" i="1"/>
  <c r="C8" i="5" s="1"/>
  <c r="G39" i="1"/>
  <c r="C7" i="5" s="1"/>
  <c r="G38" i="1"/>
  <c r="C6" i="5" s="1"/>
  <c r="G37" i="1"/>
  <c r="C5" i="5" s="1"/>
  <c r="G36" i="1"/>
  <c r="C4" i="5" s="1"/>
  <c r="G35" i="1"/>
  <c r="C3" i="5" s="1"/>
  <c r="R4" i="1" l="1"/>
  <c r="N2" i="4"/>
  <c r="M2"/>
  <c r="L2"/>
  <c r="K2"/>
  <c r="J2"/>
  <c r="I2"/>
  <c r="G2"/>
  <c r="F2"/>
  <c r="E2"/>
  <c r="D2"/>
  <c r="C2"/>
  <c r="B2"/>
</calcChain>
</file>

<file path=xl/sharedStrings.xml><?xml version="1.0" encoding="utf-8"?>
<sst xmlns="http://schemas.openxmlformats.org/spreadsheetml/2006/main" count="5305" uniqueCount="5255">
  <si>
    <t>OrgCode</t>
  </si>
  <si>
    <t>Name</t>
  </si>
  <si>
    <t>AddressLine1</t>
  </si>
  <si>
    <t>AddressLine2</t>
  </si>
  <si>
    <t>Contact</t>
  </si>
  <si>
    <t>Tel</t>
  </si>
  <si>
    <t>Email1</t>
  </si>
  <si>
    <t>W02</t>
  </si>
  <si>
    <t>W01</t>
  </si>
  <si>
    <t>W03</t>
  </si>
  <si>
    <t>W04</t>
  </si>
  <si>
    <t>W05</t>
  </si>
  <si>
    <t>W06</t>
  </si>
  <si>
    <t>W07</t>
  </si>
  <si>
    <t>W08</t>
  </si>
  <si>
    <t>W19</t>
  </si>
  <si>
    <t>W21</t>
  </si>
  <si>
    <t>44350 Osgood Road</t>
  </si>
  <si>
    <t>Fremont, CA 94539</t>
  </si>
  <si>
    <t>Bruce Vivians</t>
  </si>
  <si>
    <t>510-413-5807</t>
  </si>
  <si>
    <t>NAL Syncreon - Fremont, CA Office</t>
  </si>
  <si>
    <t>McCollisters Fremont Office</t>
  </si>
  <si>
    <t>45125 Industrial Drive</t>
  </si>
  <si>
    <t>Fremont, CA 94538</t>
  </si>
  <si>
    <t>Cory Payne</t>
  </si>
  <si>
    <t xml:space="preserve"> 510-249-0880 ext. 2212</t>
  </si>
  <si>
    <t xml:space="preserve">10672 Jasmine St. </t>
  </si>
  <si>
    <t>Fontana, CA 92337</t>
  </si>
  <si>
    <t xml:space="preserve">Kathy Inks </t>
  </si>
  <si>
    <t>800-688-0014 loc. 7917</t>
  </si>
  <si>
    <t>McCollisters Fontana Office</t>
  </si>
  <si>
    <t>McCollisters Burlington office</t>
  </si>
  <si>
    <t>1800 Route 130 N</t>
  </si>
  <si>
    <t>Burlington, NJ 08016</t>
  </si>
  <si>
    <t>Neil Owens</t>
  </si>
  <si>
    <t>800-257-9595    loc. 9451</t>
  </si>
  <si>
    <t>6B Fitzgerald Ave.</t>
  </si>
  <si>
    <t>Monroe Township, NJ 08831</t>
  </si>
  <si>
    <t>Duane Harper</t>
  </si>
  <si>
    <t>609-409-5921    loc. 266</t>
  </si>
  <si>
    <t xml:space="preserve">duane.harper@nal.syncreon.com </t>
  </si>
  <si>
    <t>4340 W Mohave St</t>
  </si>
  <si>
    <t>Phoenix AZ 85043 USA</t>
  </si>
  <si>
    <t>403 S Airport Blvd</t>
  </si>
  <si>
    <t>Aurora, CO 80017</t>
  </si>
  <si>
    <t xml:space="preserve">7 Tucker Drive </t>
  </si>
  <si>
    <t>Poughkeepsie NY 12603 USA</t>
  </si>
  <si>
    <t>800-999-4763 ext. 125 / Mobile: 845-546-6304 (S. Reuter)
800-999-4763 ext. 112 / Mobile: 845-518-1710 (C. Dedovich)</t>
  </si>
  <si>
    <t xml:space="preserve">sreuter@mccollisters.com / 
cdedovich@mccollisters.com
</t>
  </si>
  <si>
    <t>(808) 626-5710</t>
  </si>
  <si>
    <t>NAL Syncreon - Monroe, NJ Office</t>
  </si>
  <si>
    <t>Dircks, Phoenix AZ</t>
  </si>
  <si>
    <t>Poughkeepsie Warehouse</t>
  </si>
  <si>
    <t>Mesa Systems, Inc</t>
  </si>
  <si>
    <t>Contact:</t>
  </si>
  <si>
    <t>Telephone:</t>
  </si>
  <si>
    <t>Email Address:</t>
  </si>
  <si>
    <t>NA</t>
  </si>
  <si>
    <t>Shipment Method:</t>
  </si>
  <si>
    <t>Date Issued:</t>
  </si>
  <si>
    <t>Pickup Date:</t>
  </si>
  <si>
    <t>Delivery Date:</t>
  </si>
  <si>
    <t>Comments:</t>
  </si>
  <si>
    <t>Description</t>
  </si>
  <si>
    <t>Comments</t>
  </si>
  <si>
    <t>ITEM</t>
  </si>
  <si>
    <t>PART NUMBER</t>
  </si>
  <si>
    <t>Item Number</t>
  </si>
  <si>
    <t>Sealant, jbox, RTV Black PV804, pail</t>
  </si>
  <si>
    <t>Box, 2-up, 72-cell, SP</t>
  </si>
  <si>
    <t>Box, 2-up, 96-cell, SP</t>
  </si>
  <si>
    <t>Box, 2-up, 32-cell,SP</t>
  </si>
  <si>
    <t>PVM, UNFR, CNE-35L-BLK-U</t>
  </si>
  <si>
    <t>Mounting Item, FLA-12, Flashings, 18"x12" black (12 units / Box)</t>
  </si>
  <si>
    <t>MOUNTING ITEM, END CLAMPS ENDCF, KIT “F”, BLACK, 20 UNITS PER BOX</t>
  </si>
  <si>
    <t>MOUNTING ITEM, MID CLAMPS MIDC, BLACK, 20 UNITS PER BOX</t>
  </si>
  <si>
    <t>Mounting Item, GC-4, Grounding Clips (100 units / Box)</t>
  </si>
  <si>
    <t>Mounting Item, GL-4, Grounding Lugs(10 units / Box)</t>
  </si>
  <si>
    <t>MOUNTING ITEM, L FOOTINGS LF, BLACK, W/ HARDWARE, 20 UNITS PER BOX</t>
  </si>
  <si>
    <t>Planning BOM Header - Powerguard US 72-cell</t>
  </si>
  <si>
    <t>Planning BOM Header - Powertilt EU, 72 Cell, T-10, 1MW ( Metric)</t>
  </si>
  <si>
    <t>Planning BOM Header - Powertilt US, 72 Cell, T-10, 1MW ( Metric)</t>
  </si>
  <si>
    <t>PVM, UNFR, SUNP SPR-220, 220W, UL, W/MC (1506-108)</t>
  </si>
  <si>
    <t>PVM, FR, SUNP SPR-205-WHT, 205W, IEC, W/MC (1506-495)</t>
  </si>
  <si>
    <t>PVM, UNFR, SUNP, 57 WP, SUNTILE (1506-731)</t>
  </si>
  <si>
    <t>PVM, FR, SUNP SPR-315E-WHT, 315W, UL, W/MC (1507-029)</t>
  </si>
  <si>
    <t>PVM, UNFR, SUNP SPR-300-WHT, 300 WP, UL, W/MC (1507-176)</t>
  </si>
  <si>
    <t>PACKAGED SYSTEMS</t>
  </si>
  <si>
    <t>DOWNPAYMENT</t>
  </si>
  <si>
    <t>Suntile PLT-63L-BLK-U</t>
  </si>
  <si>
    <t>MOUNTING ITEM, SPLICE BARS SBAR-SM, BLACK, 20 UNITS PER BOX</t>
  </si>
  <si>
    <t>Mounting Item, SBAR-SML, Splice Bars for SML (20 units / Box)</t>
  </si>
  <si>
    <t>SERVICE CREDIT</t>
  </si>
  <si>
    <t>Monitoring Item, SPR-PMR-DLOG, Data Logger - DO NOT USE</t>
  </si>
  <si>
    <t>Monitoring Item, SPR-PMR-GTWY, Gateway - DO NOT USE</t>
  </si>
  <si>
    <t>Monitoring Item, SPR-PMR-WDISP, Wireless Display (1507-495)</t>
  </si>
  <si>
    <t>Mounting Item, SPR-SH, SPR Comp Shims (100 per box)</t>
  </si>
  <si>
    <t>INVERTER, SPR-T36km</t>
  </si>
  <si>
    <t>INVERTER, SPR-T42km</t>
  </si>
  <si>
    <t>INVERTER, SPRx Wired Monitor</t>
  </si>
  <si>
    <t>PVM, UNFR, SRC-52L-BLK-I</t>
  </si>
  <si>
    <t>MOUNTING ITEM, STAND OFF, 4", STO-4, BLACK, 12 UNITS PER BOX</t>
  </si>
  <si>
    <t>MOUNTING ITEM, STAND OFF, 7”, STO-7, BLACK, 12 UNITS PER BOX</t>
  </si>
  <si>
    <t>KIT, MOUNTING ITEM, SUNFRAME SPR-SF-4, BLACK</t>
  </si>
  <si>
    <t>KIT, MOUNTING ITEM, SOLARMOUNT SPR-SM-4, BLACK</t>
  </si>
  <si>
    <t>Mounting Item, SPR SML-4, Solar Mount Light Kit</t>
  </si>
  <si>
    <t>INVERTER, SPR-100KM-DE</t>
  </si>
  <si>
    <t>INVERTER, SPR-100KM-ES</t>
  </si>
  <si>
    <t>INVERTER, SPR-100KM-FR</t>
  </si>
  <si>
    <t>INVERTER, SPR-100KM-GR</t>
  </si>
  <si>
    <t>INVERTER, SPR-100KM-IT</t>
  </si>
  <si>
    <t>INVERTER, SPR-2000</t>
  </si>
  <si>
    <t>PVM, SPR-200-BLK-I</t>
  </si>
  <si>
    <t>PVM, SPR-200-BLK-U</t>
  </si>
  <si>
    <t>INVERTER, SPR-200KM-DE</t>
  </si>
  <si>
    <t>INVERTER, SPR-200KM-ES</t>
  </si>
  <si>
    <t>INVERTER, SPR-200KM-FR</t>
  </si>
  <si>
    <t>Inverter, SPR-200KM-GR</t>
  </si>
  <si>
    <t>Inverter, SPR-200KM-IT</t>
  </si>
  <si>
    <t>PVM, UNFR, SPR-200L-BLK-I</t>
  </si>
  <si>
    <t>PVM, SPR-200N-WHT-U</t>
  </si>
  <si>
    <t>PVM, SPR-200-WHT-I C</t>
  </si>
  <si>
    <t>PVM, SPR-200-WHT-U A, (1507-267)</t>
  </si>
  <si>
    <t>PVM, SPR-200-WHT-U C, (1507-107)</t>
  </si>
  <si>
    <t>PVM, SPR-205-BLK-I</t>
  </si>
  <si>
    <t>PVM, UNFR, SPR-205L-BLK-I</t>
  </si>
  <si>
    <t>PVM, SPR-205-BLK-U</t>
  </si>
  <si>
    <t>PVM, SPR-205-BLK-U A</t>
  </si>
  <si>
    <t>PVM, SPR-205-BLK-U B</t>
  </si>
  <si>
    <t>PVM, SPR-205N-BLK-J</t>
  </si>
  <si>
    <t>PVM, SPR-210-BLK-I</t>
  </si>
  <si>
    <t>PVM, SPR-210-BLK-U</t>
  </si>
  <si>
    <t>PVM, SPR-210-BLK-U F</t>
  </si>
  <si>
    <t>PVM, UNFR, SPR-210L-WHT-U</t>
  </si>
  <si>
    <t>PVM, SPR-210N-WHT-J</t>
  </si>
  <si>
    <t>PVM, SPR-210-WHT-I</t>
  </si>
  <si>
    <t>PVM, SPR-210-WHT-I C</t>
  </si>
  <si>
    <t>PVM, SPR-210-WHT-U</t>
  </si>
  <si>
    <t>PVM, SPR-210-WHT-U A, (1507-106)</t>
  </si>
  <si>
    <t>PVM, SPR-210-WHT-U B, (1507-268)</t>
  </si>
  <si>
    <t>PVM, SPR-210-WHT-U F</t>
  </si>
  <si>
    <t>PVM, SPR-215-BLK-U</t>
  </si>
  <si>
    <t>PVM, SPR-215-BLK-U A</t>
  </si>
  <si>
    <t>PVM, SPR-215-BLK-U B</t>
  </si>
  <si>
    <t>PVM, SPR-215-BLK-U G</t>
  </si>
  <si>
    <t>PVM, SPR-205-BLK-U A Refurbished</t>
  </si>
  <si>
    <t>PVM, UNFR, SPR-215L-WHT-I</t>
  </si>
  <si>
    <t>PVM, UNFR, SPR-215L-WHT-U C</t>
  </si>
  <si>
    <t>PVM, SPR-215N-WHT-U</t>
  </si>
  <si>
    <t>PVM, SPR-215-WHT-I</t>
  </si>
  <si>
    <t>PVM, SPR-215-WHT-I C</t>
  </si>
  <si>
    <t>PVM, SPR-215-WHT-U</t>
  </si>
  <si>
    <t>PVM, SPR-215-WHT-U C</t>
  </si>
  <si>
    <t>PVM, SPR-217-WHT-I C</t>
  </si>
  <si>
    <t>PVM, SPR-217-WHT-I CAR</t>
  </si>
  <si>
    <t>PVM, SPR-217-WHT-I CT</t>
  </si>
  <si>
    <t>PVM, SPR-217-WHT-U C</t>
  </si>
  <si>
    <t>PVM, SPR-217-WHT-U CAR</t>
  </si>
  <si>
    <t>PVM, SPR-217-WHT-U CT</t>
  </si>
  <si>
    <t>PVM, SPR-220-BLK-I</t>
  </si>
  <si>
    <t>PVM, SPR-220-BLK-U</t>
  </si>
  <si>
    <t>PVM, SPR-220-WHT-U</t>
  </si>
  <si>
    <t>PVM, SPR-220-WHT-U A</t>
  </si>
  <si>
    <t>PVM, SPR-225-BLK-I</t>
  </si>
  <si>
    <t>PVM, SPR-225-BLK-U</t>
  </si>
  <si>
    <t>PVM, SPR-225-BLK-U F</t>
  </si>
  <si>
    <t>PVM, SPR-225-WHT-I C</t>
  </si>
  <si>
    <t>PVM, SPR-225-WHT-U C</t>
  </si>
  <si>
    <t>PVM, SPR-230-WHT-I</t>
  </si>
  <si>
    <t>PVM, SPR-230-WHT-I C</t>
  </si>
  <si>
    <t>PVM, SPR-230-WHT-I CAR</t>
  </si>
  <si>
    <t>PVM, SPR-230-WHT-I CT</t>
  </si>
  <si>
    <t>PVM, SPR-230-WHT-U</t>
  </si>
  <si>
    <t>PVM, SPR-230-WHT-U C</t>
  </si>
  <si>
    <t>PVM, SPR-230-WHT-U CAR</t>
  </si>
  <si>
    <t>PVM, SPR-230-WHT-U CT</t>
  </si>
  <si>
    <t>INVERTER, SPR-2500</t>
  </si>
  <si>
    <t>Inverter, SPR-250KM-DE</t>
  </si>
  <si>
    <t>Inverter, SPR-250KM-ES</t>
  </si>
  <si>
    <t>Inverter, SPR-250KM-FR</t>
  </si>
  <si>
    <t>Inverter, SPR-250KM-GR</t>
  </si>
  <si>
    <t>Inverter, SPR-250KM-IT</t>
  </si>
  <si>
    <t>INVERTER, SPR-2900</t>
  </si>
  <si>
    <t>PVM, SPR-290-WHT-I C</t>
  </si>
  <si>
    <t>PVM, SPR-290-WHT-I CT</t>
  </si>
  <si>
    <t>PVM, SPR-290-WHT-U C</t>
  </si>
  <si>
    <t>PVM, SPR-290-WHT-U CT</t>
  </si>
  <si>
    <t>INVERTER, SPR-3000m</t>
  </si>
  <si>
    <t>PVM, SPR-300E-WHT-U C</t>
  </si>
  <si>
    <t>PVM, SPR-300-WHT-I, (1507-159)</t>
  </si>
  <si>
    <t>PVM, UNFR, SPR-305L-WHT-U C</t>
  </si>
  <si>
    <t>PVM, SPR-305-WHT-I C, (1507-113)</t>
  </si>
  <si>
    <t>PVM, SPR-305-WHT-I CK</t>
  </si>
  <si>
    <t>PVM, SPR-305-WHT-I CL</t>
  </si>
  <si>
    <t>PVM, SPR-305-WHT-I CT</t>
  </si>
  <si>
    <t>PVM, SPR-305-WHT-U C</t>
  </si>
  <si>
    <t>PVM, SPR-305-WHT-U CT</t>
  </si>
  <si>
    <t>PVM, SPR-305-WHT-U CL</t>
  </si>
  <si>
    <t>PVM, SPR-315E-WHT-I C, (1507-252)</t>
  </si>
  <si>
    <t>PVM, SPR-315E-WHT-U C</t>
  </si>
  <si>
    <t>INVERTER, SPR-3200</t>
  </si>
  <si>
    <t>Inverter, SPR-3200D Dummy</t>
  </si>
  <si>
    <t>Inverter, SPR-3300M-DE</t>
  </si>
  <si>
    <t>Inverter, SPR-3300M-ES</t>
  </si>
  <si>
    <t>Inverter, SPR-3300M-FR with Resistive Ground</t>
  </si>
  <si>
    <t>Inverter, SPR-3300M-GR</t>
  </si>
  <si>
    <t>Inverter, SPR-3300M-IT</t>
  </si>
  <si>
    <t>INVERTER, SPR-3300x-208, UL01, 3.3KVA, 208 VAC</t>
  </si>
  <si>
    <t>INVERTER, SPR-3300x-240, UL01, 3.3KVA, 240 VAC, POSITIVE GROUND (1505-251)</t>
  </si>
  <si>
    <t>INVERTER, SPR-3300x, UL05, 3.3KVA, 208/240 VAC</t>
  </si>
  <si>
    <t>INVERTER, SPR-3500</t>
  </si>
  <si>
    <t>Inverter, SPR-3800M-DE</t>
  </si>
  <si>
    <t>Inverter, SPR-3800M-ES</t>
  </si>
  <si>
    <t>Inverter, SPR-3800M-FR</t>
  </si>
  <si>
    <t>Inverter, SPR-3800M-GR</t>
  </si>
  <si>
    <t>Inverter, SPR-3800M-IT</t>
  </si>
  <si>
    <t>INVERTER, SPR-4000m</t>
  </si>
  <si>
    <t>INVERTER, SPR-4000x, UL01, 4.0KVA, 240 VAC, POSITIVE GROUND (1507-054)</t>
  </si>
  <si>
    <t>INVERTER, SPR-4000x, UL05, 4.0KVA, 208/240 VAC</t>
  </si>
  <si>
    <t>INVERTER, SPR-4600</t>
  </si>
  <si>
    <t>INVERTER, SPR-5000m</t>
  </si>
  <si>
    <t>Inverter, SPR-5000M-DE</t>
  </si>
  <si>
    <t>Inverter, SPR-5000M-ES</t>
  </si>
  <si>
    <t>Inverter, SPR-5000M-FR</t>
  </si>
  <si>
    <t>Inverter, SPR-5000M-GR</t>
  </si>
  <si>
    <t>Inverter, SPR-5000M-IT</t>
  </si>
  <si>
    <t>INVERTER, SPR-5000x, UL05, 5.0KVA, 208/240 VAC</t>
  </si>
  <si>
    <t>INVERTER, SPR-5000x, UL05, 5.0KVA, 240 VAC, POSITIVE GROUND (1507-551)</t>
  </si>
  <si>
    <t>INVERTER, SPR-5200</t>
  </si>
  <si>
    <t>INVERTER, SPR-6000m</t>
  </si>
  <si>
    <t>Inverter, SPR-6000M-DE</t>
  </si>
  <si>
    <t>Inverter, SPR-6000M-ES</t>
  </si>
  <si>
    <t>Inverter, SPR-6000M-FR</t>
  </si>
  <si>
    <t>Inverter, SPR-6000M-GR</t>
  </si>
  <si>
    <t>Inverter, SPR-6000M-IT</t>
  </si>
  <si>
    <t>INVERTER, SPR-7000m</t>
  </si>
  <si>
    <t>Inverter, SPR-7000M-DE</t>
  </si>
  <si>
    <t>Inverter, SPR-7000M-ES</t>
  </si>
  <si>
    <t>Inverter, SPR-7000M-FR</t>
  </si>
  <si>
    <t>Inverter, SPR-7000M-GR</t>
  </si>
  <si>
    <t>Inverter, SPR-7000M-IT</t>
  </si>
  <si>
    <t>PVM, SPR-90-WHT-I</t>
  </si>
  <si>
    <t>PVM, SPR-90-WHT-U</t>
  </si>
  <si>
    <t>INVERTER DISCONNECT, SPR-ACDC-DISC-M for SPR-5000m, SPR-6000m, SPR-7000m</t>
  </si>
  <si>
    <t>Mounting Item, SPR-AT, SPR Aligment Tool</t>
  </si>
  <si>
    <t>Mounting Item, SPR-CS, SPR Comp Screws (1500 per box)</t>
  </si>
  <si>
    <t>INVERTER DISCONNECT, SPR-DC-DISC-M for SPR-3000m, SPR-4000m</t>
  </si>
  <si>
    <t>Mounting Item, SPR-EC, SPR Comp End, Silver (4 per Box)</t>
  </si>
  <si>
    <t>Mounting Item, SPR-ELF, SPR Comp Elec (5 per box)</t>
  </si>
  <si>
    <t>Mounting Item, SPR-FL, SPR Comp Flashing (10 per box)</t>
  </si>
  <si>
    <t>Inverter, SPR-GKM, Grounding Kit / ESHV-P -NR+ EARTH KITS SMA</t>
  </si>
  <si>
    <t>Mounting Item, SPR-MC, SPR Comp Middle, Silver (10 per box)</t>
  </si>
  <si>
    <t>LUG, GRNDG, 600 MCM-2, 2-POLE, AL (1500-345)</t>
  </si>
  <si>
    <t>ENCLSR, NEMA 4, FIBERGLASS, 19.6 x 17.6 x 8 (1500-348)</t>
  </si>
  <si>
    <t>PANEL, 16.9 x 14.9 (1500-349)</t>
  </si>
  <si>
    <t>SHIELD, WEATHER, ISOLATION TRANSFORMER, 45KVA (1500-351)</t>
  </si>
  <si>
    <t>SHIELD, WEATHER, ISOLATION TRANSFORMER, 30KVA (1500-354)</t>
  </si>
  <si>
    <t>SCREW, CAP, HH, 1/4-20 X 1/2, 18-8SS, WITH PATCH (1500-355)</t>
  </si>
  <si>
    <t>SCREW, CAP, HH, 1/4-20 X 1-1/2, 18-8SS, WITH PATCH (1500-356)</t>
  </si>
  <si>
    <t>PVM, FR, SHAR NE165U1, 165 WP, UL, W/MC (1500-359)</t>
  </si>
  <si>
    <t>BOARD, XPS, 42.00" X 109.5" X 2", PANEL CORE 30 (1500-364)</t>
  </si>
  <si>
    <t>TRANSFORMER, ISOLATION, 15KVA, 208Y:480D (1500-372)</t>
  </si>
  <si>
    <t>LOCK, COMBINATION, 4-DIGIT (1500-375)</t>
  </si>
  <si>
    <t>SCREW, S-D, S-T, #2 PT, HH, SLOT, #8 X 0.375, ZN (1500-385)</t>
  </si>
  <si>
    <t>SCREW, CAP, HS, 1/4-20X1-1/8, 18-8 SS (1500-395)</t>
  </si>
  <si>
    <t>DUCT, WIRE, 4.25WX4.1H, PVC, GRAY, RND HOLE, 6 FT (1500-397)</t>
  </si>
  <si>
    <t>ASSY, BAR, BUS, 200-TAP, AL, TIN-PLATE (1500-427)</t>
  </si>
  <si>
    <t>SCREW, S-T, TYPE F, HH, SLOT, 8-32 X 3/8", ZN (1500-431)</t>
  </si>
  <si>
    <t>ASSY, BBD, SIEM SP150-CPL (1500-432)</t>
  </si>
  <si>
    <t>ENCLSR, NEMA 4X,  AL, 7.5x8.5x4 (1500-437)</t>
  </si>
  <si>
    <t>PVM, UNFR, SIEM SP130-CPL, 130 WP, UL, W/MC (1500-450)</t>
  </si>
  <si>
    <t>BLOCK, FUSE, 30A, 600VDC, 1-POLE, NO INDICATOR (1500-453)</t>
  </si>
  <si>
    <t>SCREW, S-T, TYPE A, HH, #12 X 2, ZN (1500-454)</t>
  </si>
  <si>
    <t>WASHER, NYLON, 1/4 ID, 3/4 OD, 1/4 THK (1500-455)</t>
  </si>
  <si>
    <t>ENCLSR, NEMA 4, STEEL, 30 X 24 X 8, LG (1500-459)</t>
  </si>
  <si>
    <t>BAR, NEUTRAL, 12-TAP #4/350 MCM (1500-461)</t>
  </si>
  <si>
    <t>STRAP, LG, 3" WIDE, ZN-AL, WHITE (1500-465)</t>
  </si>
  <si>
    <t>BOARD, XPS, 50.0" X 90.5" X 2", PANEL CORE 30 (1500-473)</t>
  </si>
  <si>
    <t>PUNCH, KNOCKOUT, SLUG BUSTER, 2" (NO STUD/DIE) (1500-474)</t>
  </si>
  <si>
    <t>PANEL, ENCLOSURE, 7.5X8.5, STEEL, ZN (1500-479)</t>
  </si>
  <si>
    <t>ADHESIVE, POLYURETHANE, SQUEEZE BOTTLE, 16 OZ (1500-497)</t>
  </si>
  <si>
    <t>BOTTLE, SQUEEZE, 16 OZ (1500-498)</t>
  </si>
  <si>
    <t>SWITCH, SAFETY, 100A, 600V, NEMA 3R, NON-FUSED (1500-509)</t>
  </si>
  <si>
    <t>SAW, HOLE, KIT, 0.75-2.5", STEEL (1500-527)</t>
  </si>
  <si>
    <t>COOKIE SHEET, SLOPED TILE, SIEMENS SP-150 (1500-529)</t>
  </si>
  <si>
    <t>ENCLSR, NEMA 4, STEEL, 36X30X8, LG (1500-540)</t>
  </si>
  <si>
    <t>FLUID, ISOLATION, PUMP &amp; METER RODS, 1 PT. BOTTLE (1500-558)</t>
  </si>
  <si>
    <t>ROLL,GALVALUME,SMP &amp; EPOXY,WHITE,24GA,14,000#,48"W (1500-563)</t>
  </si>
  <si>
    <t>BOX, TRANSITION EXIT, CONDUCTOR, LG CURB (1500-568)</t>
  </si>
  <si>
    <t>TRANSFORMER, ISOLATION, 30KVA, 208Y:240D (1500-571)</t>
  </si>
  <si>
    <t>COVER, EDGE, LG, 5 FT. (1500-588)</t>
  </si>
  <si>
    <t>TRANSFORMER, ISOLATION, 45KVA, 208Y:208D (1500-591)</t>
  </si>
  <si>
    <t>TRANSFORMER, ISOLATION, 75KVA, 208Y:208D (1500-592)</t>
  </si>
  <si>
    <t>SUPPORT, CONDUIT, SS STRUT/RECYCLED RUBBER, 4X6X9" (1500-600)</t>
  </si>
  <si>
    <t>ASSY, COMB. BOX, STD, 72X31X24, 104 STR (1500-605)</t>
  </si>
  <si>
    <t>ASSY, COMB. BOX, STD, 74X72X12, 189 STR (1500-606)</t>
  </si>
  <si>
    <t>FUSE, DUAL ELEMENT, 600V, CLASS RK5, 45A (1500-611)</t>
  </si>
  <si>
    <t>ASSY, TILE, ASTR AP-65, 65 WP, DOUBLE, UL (1500-613)</t>
  </si>
  <si>
    <t>TRANSFORMER, ISOLATION, 30KVA, 208Y:480Y (1500-614)</t>
  </si>
  <si>
    <t>LUG, BOX, 350 MCM, NO-TURN, AL, TIN-PLATE (1500-615)</t>
  </si>
  <si>
    <t>COVER, CORNER, CURB, OUTSIDE, RIGHT (1500-618)</t>
  </si>
  <si>
    <t>COVER, CORNER, CURB, OUTSIDE, LEFT (1500-619)</t>
  </si>
  <si>
    <t>BOX, BASE, CORNER, CURB, MITERED, BONE (1500-620)</t>
  </si>
  <si>
    <t>COVER, CORNER, CURB, INSIDE, RIGHT (1500-621)</t>
  </si>
  <si>
    <t>COVER, CORNER, CURB, INSIDE, LEFT (1500-622)</t>
  </si>
  <si>
    <t>BOX, BASE, CORNER, CURB, MITERED (1500-623)</t>
  </si>
  <si>
    <t>STRIP, TERMINAL, 12 POLE (1500-642)</t>
  </si>
  <si>
    <t>CLIP, CABLE, EZ, 1/4" (1500-647)</t>
  </si>
  <si>
    <t>BOTTLE, WATER, 2.5 GALLON (1500-652)</t>
  </si>
  <si>
    <t>DUCT, WIRING, PANDUIT, G1X2LG6N, 6' (1500-653)</t>
  </si>
  <si>
    <t>COVER, DUCT, WIRING, PANDUIT, C1LG6N, 6' (1500-654)</t>
  </si>
  <si>
    <t>ENCLSR, NEMA 4, STEEL, 30 X 24 X 8 (1500-655)</t>
  </si>
  <si>
    <t>PANEL, SIDE-MOUNT, 60x20, STEEL (1500-656)</t>
  </si>
  <si>
    <t>LUG, GRNDG, 2 AWG-600 MCM, 4-POLE, STACKED (1500-658)</t>
  </si>
  <si>
    <t>SCREW, CAP, HH, 3/8-24X3.5, 18-8 SS (1500-660)</t>
  </si>
  <si>
    <t>WASHER, LOCK, SPLIT, 1/4", .36 OD, 18-8 SS (1500-661)</t>
  </si>
  <si>
    <t>SCREW, CAP, SH, 1/4-20X2, 18-8 SS (1500-662)</t>
  </si>
  <si>
    <t>WASHER, LOCK, SPLIT, #10 CAP SCREW,.294 OD,18-8 SS (1500-663)</t>
  </si>
  <si>
    <t>NUT, HEX, 3/8-24, 18-8 SS (1500-664)</t>
  </si>
  <si>
    <t>WASHER, LOCK, SPLIT, HI COL, 3/8", .550 OD,18-8 SS (1500-665)</t>
  </si>
  <si>
    <t>MOUNT, PUSH, TIE, WIRE, 1/4" HOLE, .125" MAX PANEL (1500-667)</t>
  </si>
  <si>
    <t>SCREW, RH, 1/4-20 X 5/8, 18-8 SS (1500-668)</t>
  </si>
  <si>
    <t>LUG, GRNDG, 2 AWG-600 MCM, 2-POLE (1500-671)</t>
  </si>
  <si>
    <t>SCREW, CAP, HH, 1/2-20X4, 18-8 SS (1500-672)</t>
  </si>
  <si>
    <t>WASHER, FLAT, 1/2, 1.062 OD, 18-8 SS (1500-673)</t>
  </si>
  <si>
    <t>NUT, HEX, 1/2-20, 18-8 SS (1500-674)</t>
  </si>
  <si>
    <t>SCREW, FH, 1/4-20X3.5, 18-8 SS (1500-675)</t>
  </si>
  <si>
    <t>SUPPORT, RETAINER, BUNDLE, ACETAL, 2" D (1500-676)</t>
  </si>
  <si>
    <t>SPACER, REAR, BOTTOM, TWO-PART, SIEMENS SP150 (1500-681)</t>
  </si>
  <si>
    <t>SWITCH, SAFETY, 100A, 240V, NEMA 3R, FUSED (1500-686)</t>
  </si>
  <si>
    <t>FUSE, DUAL ELEMENT, 240V, CLASS RK5, 100A (1500-687)</t>
  </si>
  <si>
    <t>TRANSFORMER, ISOLATION, 45KVA, 480D:208Y (1500-699)</t>
  </si>
  <si>
    <t>SWITCH, SAFETY, 600A, 600V, NEMA 3R, FUSED (1500-703)</t>
  </si>
  <si>
    <t>RELAY, INTERTIE, UTILITY, SEL-351A (1500-705)</t>
  </si>
  <si>
    <t>TIE, CABLE, 14.5" L, 4" BUNDLE DIA, NYLON, BLACK (1500-706)</t>
  </si>
  <si>
    <t>PAN, RT CURB, PAVER-STYLE, NO TABS, 5' (1500-722)</t>
  </si>
  <si>
    <t>COVER, RT CURB, PAVER-STYLE, NO TABS, 5' (1500-723)</t>
  </si>
  <si>
    <t>ANCHOR, STRAP, RT CURB (1500-724)</t>
  </si>
  <si>
    <t>WASHER, FLAT, 3/8, .812 OD, 18-8 SS (1500-731)</t>
  </si>
  <si>
    <t>PROBE, TEMPERATURE, -5 TO +95 C (1500-742)</t>
  </si>
  <si>
    <t>SET, WIND SENTRY, RM YOUNG, SPD &amp; DIR, 12' CABLE (1500-743)</t>
  </si>
  <si>
    <t>FUSE, DUAL ELEMENT, 600V, CLASS RK5, 30A (1500-751)</t>
  </si>
  <si>
    <t>PALLET, 56" X 39", WOOD (1500-752)</t>
  </si>
  <si>
    <t>PALLET, 53" X 48", WOOD (1500-758)</t>
  </si>
  <si>
    <t>ADHESIVE, EPOXY, HIGH TEMPERATURE (1500-765)</t>
  </si>
  <si>
    <t>SCREW, CAP, HH, 1/2-20 X 3, 18-8 SS (1500-767)</t>
  </si>
  <si>
    <t>LUG, GRNDG, 600 MCM-2 AWG, 2-POLE, 2-HOLE (1500-776)</t>
  </si>
  <si>
    <t>SCREW, CAP, HH, 1/4-20 X 3/4, ZN, GR5 (1500-782)</t>
  </si>
  <si>
    <t>WASHER, FLAT, 1/4, 1.25 OD, .125 THK, 18-8SS (1500-783)</t>
  </si>
  <si>
    <t>METER, POWER, SIEMENS, ENH#2, W/DISPLAY (1500-796)</t>
  </si>
  <si>
    <t>BLOCK, SHORTING, CURRENT TRANSFORMER (1500-797)</t>
  </si>
  <si>
    <t>TRANSFORMER, CURRENT, SPLIT CORE, 400:5, 1.5" (1500-798)</t>
  </si>
  <si>
    <t>TRANSFORMER, CURRENT, SPLIT CORE, 250:5, 1.5" (1500-799)</t>
  </si>
  <si>
    <t>BLOCK, PWR DIST, 1X6, 2/0, 1-POLE, NSI (1500-800)</t>
  </si>
  <si>
    <t>BRACKET, WIND DEFLECTOR, PENCADER (1500-801)</t>
  </si>
  <si>
    <t>ENCLSR, NEMA 4, 20 X 20 X 6, LG (1500-809)</t>
  </si>
  <si>
    <t>PANEL, ENCLSR, 20X20, STEEL (1500-810)</t>
  </si>
  <si>
    <t>BOX, TRANSITION EXIT, CONDUCTOR, RT CURB, 2.5" (1500-825)</t>
  </si>
  <si>
    <t>BOX, TRANSITION EXIT, CONDUCTOR, RT CURB, 2" (1500-826)</t>
  </si>
  <si>
    <t>SCREW, SM, S-T, HWH, #8 X 3/8, 18-8SS (1500-829)</t>
  </si>
  <si>
    <t>LABEL, ASTR, APX-110-SL, UL, CE (1500-831)</t>
  </si>
  <si>
    <t>STUD, 3/8-16X3, FULL-THREAD, STEEL, ZN (1500-832)</t>
  </si>
  <si>
    <t>NUT, COUPLING, 3/8-16X1.125, STEEL, ZN (1500-833)</t>
  </si>
  <si>
    <t>NUT, CHANNEL, M6 X 1, ZN (1500-013)</t>
  </si>
  <si>
    <t>SCREW, CAP, SH, M6 X 1 X 40, 18-8 SS (1500-014)</t>
  </si>
  <si>
    <t>FUSE, DUAL ELEMENT, 600V, CLASS RK5, 225A (1500-015)</t>
  </si>
  <si>
    <t>BLOCK, SHORTING, 8-POLE (1500-022)</t>
  </si>
  <si>
    <t>SWITCH, SAFETY, 400A, 600VDC, NEMA 3R, 3-POLE, NON-FUSED (1500-026)</t>
  </si>
  <si>
    <t>SWAGER, HAND, SS SLEEVE, OVAL, 3/32" &amp; 1/8" (1500-031)</t>
  </si>
  <si>
    <t>COVER, ARRAY STRAPPING, LG WALKWAY (1500-034)</t>
  </si>
  <si>
    <t>BLOCK, FUSE, 30A, 600VDC, DEAD FRONT, DIN, 1-POLE (1500-044)</t>
  </si>
  <si>
    <t>TIE, CABLE, PUSH-MOUNT, NYLON,85 C,0.187"HOLE DIA. (1500-045)</t>
  </si>
  <si>
    <t>FUSE, DUAL ELEMENT, 600V, CLASS RK5, 300A (1500-049)</t>
  </si>
  <si>
    <t>ASSY, TILE, SANY HIP-H552BA2, 175 WP, UL (1500-050)</t>
  </si>
  <si>
    <t>ASSY, BBD, SANY HIP-H552BA2 (1500-051)</t>
  </si>
  <si>
    <t>PVM, FR, SANY HIP-H552BA2, 175 WP, UL, W/MC (1500-052)</t>
  </si>
  <si>
    <t>ASSY, BLANK BOARD, SANY HIP-H552BA2 (1500-053)</t>
  </si>
  <si>
    <t>BBD, FOAM, SANY HIP-H552BA2 (1500-054)</t>
  </si>
  <si>
    <t>PAN, ROOF, STANDING SEAM, GALVY, 18' X 18", 24 GA (1500-055)</t>
  </si>
  <si>
    <t>FUSE BLOCK, 1-POLE, R CLASS, 600V, 201-400A (1500-057)</t>
  </si>
  <si>
    <t>TAP, SPLIT BOLT, CU, SERVIT, #10-#3 AWG (1500-059)</t>
  </si>
  <si>
    <t>INVERTER, PV30208, 30KVA (1500-063)</t>
  </si>
  <si>
    <t>INVERTER, PV45208, 45KVA (1500-064)</t>
  </si>
  <si>
    <t>INVERTER, PV150208, 150KVA, W/ SWITCHES (1500-066)</t>
  </si>
  <si>
    <t>INVERTER, PV225208, 225KVA, W/ SWITCHES (1500-067)</t>
  </si>
  <si>
    <t>INVERTER, PV300208, 300KVA, W/ SWITCHES (1500-068)</t>
  </si>
  <si>
    <t>TRANSFORMER, ISOLATION, 45KVA, 208Y:208Y (1500-069)</t>
  </si>
  <si>
    <t>TRANSFORMER, ISOLATION, 45KVA, 208Y:480Y (1500-070)</t>
  </si>
  <si>
    <t>TRANSFORMER, ISOLATION, 100KVA, 208Y:480Y (1500-071)</t>
  </si>
  <si>
    <t>TRANSFORMER, ISOLATION, 150KVA, 208D:480Y (1500-072)</t>
  </si>
  <si>
    <t>TRANSFORMER, ISOLATION, 225KVA, 208D:480Y (1500-073)</t>
  </si>
  <si>
    <t>TRANSFORMER, ISOLATION, 225KVA, 208Y:480Y (1500-074)</t>
  </si>
  <si>
    <t>TRANSFORMER, ISOLATION, 300KVA, 208D:480Y (1500-075)</t>
  </si>
  <si>
    <t>LABEL, PG, SANY, HIP-H552BA2, UL, CE (1500-086)</t>
  </si>
  <si>
    <t>COATING, MORTAR, LATEX-MODIFIED (1500-088)</t>
  </si>
  <si>
    <t>CAP, ROUND, VINYL, .531", BLACK (1500-090)</t>
  </si>
  <si>
    <t>ADHESIVE, HOT MELT, HYSOL "COOL MELT" (1500-092)</t>
  </si>
  <si>
    <t>CONDUIT, OFFSET, 2.5" SIZE, RIGID GALV STEEL (1500-105)</t>
  </si>
  <si>
    <t>CONDUIT, OFFSET, 2" SIZE, RIGID GALV STEEL (1500-106)</t>
  </si>
  <si>
    <t>CONDUIT, OFFSET, 1.5" SIZE, RIGID GALV STEEL (1500-107)</t>
  </si>
  <si>
    <t>CONDUIT, OFFSET, 1" SIZE, RIGID GALV STEEL (1500-108)</t>
  </si>
  <si>
    <t>HOLDER, FUSE, MIDGET, IN-LINE, WATER-TIGHT, 1-POLE (1500-126)</t>
  </si>
  <si>
    <t>BOOT, INSULATING, WEATHERPROOF, 1 PAIR (1500-127)</t>
  </si>
  <si>
    <t>FUSE, FAST-ACTING, 600V, 15A (1500-128)</t>
  </si>
  <si>
    <t>SWITCH, SAFETY, 600A, 600V, NEMA 3R, NON-FUSED (1500-138)</t>
  </si>
  <si>
    <t>SUPPORT, CONDUIT, STRUT/ RUBBER, 4X6X9", HG (1500-140)</t>
  </si>
  <si>
    <t>ASSY, COMB.BOX, 73 STR(OBSOLETE SEE 2150-249) (1500-152)</t>
  </si>
  <si>
    <t>FUSE, FAST-ACTING, 600V, 1A (1500-153)</t>
  </si>
  <si>
    <t>LUG, GRNDG, 250MCM-6AWG, 4-POLE, AL (1500-158)</t>
  </si>
  <si>
    <t>BOARD, XPS, 49.5" X 90.5" X 2", PANEL CORE 30 (1500-165)</t>
  </si>
  <si>
    <t>SIGN, AL, "POWERGUARD", PUNCHED, 5"X14"OBSOLETE- SEE1507-539) (1500-176)</t>
  </si>
  <si>
    <t>SIGN, AL, "DANGER", PUNCHED, 3"X10"(OBSOLETE- SEE1507-541) (1500-177)</t>
  </si>
  <si>
    <t>SIGN, AL, "DANGER", PUNCHED, 5"X14"(OBSOLETE- SEE1507-541) (1500-178)</t>
  </si>
  <si>
    <t>SIGN, AL, "DAS-DANGER", 8"X10"(OBSOLETE-SEE 1507-082) (1500-184)</t>
  </si>
  <si>
    <t>LABEL, VINYL, "DC HIGH VOLTAGE", 2"X8" (1500-191)</t>
  </si>
  <si>
    <t>FLASHING, PARAPET, PMI (1500-194)</t>
  </si>
  <si>
    <t>DEFLECTOR, ATTACHMENT, GUTTER, PMI (1500-195)</t>
  </si>
  <si>
    <t>RESISTOR, 100 OHM, 1/4 WATT (1500-208)</t>
  </si>
  <si>
    <t>FOAM, SCRAP, XPS, 2" THICK (1500-217)</t>
  </si>
  <si>
    <t>BREAKER, CIRCUIT, 3-P, 600V, 150A, PLUG-IN (1500-221)</t>
  </si>
  <si>
    <t>PANELBOARD, BREAKER, CIRCUIT, 800A (1500-222)</t>
  </si>
  <si>
    <t>ENCLSR, NEMA 3R, 32X48", FOR 1500-222 (1500-223)</t>
  </si>
  <si>
    <t>RAIL, DIN, 35 MM, AL, 1M LENGTH (1500-231)</t>
  </si>
  <si>
    <t>SCREW, S-D, HH, 10-16 X 1/2, GALV (1500-234)</t>
  </si>
  <si>
    <t>CHANNEL, ANCHOR, RT CURB, 2X6X16, 9/16" HOLE (1500-252)</t>
  </si>
  <si>
    <t>SCREW, S-D, HWH, #12 X 1, ZN (1500-253)</t>
  </si>
  <si>
    <t>BOLT, HH, 5/8-16 X 8, GALVY (1500-254)</t>
  </si>
  <si>
    <t>LUG, GRNDG, 300 MCM-6 AWG, 1-POLE, AL (1500-256)</t>
  </si>
  <si>
    <t>SCREW, PH, SLOT, 1/4-20 X 5/8, 18-8 SS (1500-257)</t>
  </si>
  <si>
    <t>ASSY, WIRE, GROUNDING, #12 BRAID, #8 RINGS, 7" (1500-258)</t>
  </si>
  <si>
    <t>BAR, GROUNDING, AL, SANYO HIP-H552BA2 (1500-259)</t>
  </si>
  <si>
    <t>SCREW, FH, 1/4-20 X 0.75, 18-8 SS (1500-265)</t>
  </si>
  <si>
    <t>NUT, TOOTHED WASHER, 1/4-20, 18-8 SS (1500-266)</t>
  </si>
  <si>
    <t>LUG, GRNDG, 14 AWG-1/0 AWG, 2-POLE (1500-267)</t>
  </si>
  <si>
    <t>NUT, HEX, 5/8-16, GALVY (1500-269)</t>
  </si>
  <si>
    <t>WASH, FLAT, 5/8, GALVY (1500-270)</t>
  </si>
  <si>
    <t>TIE, CABLE, MNTG HOLE, NYLON, 1/4" HOLE (1500-279)</t>
  </si>
  <si>
    <t>TIE, CABLE, NYLON, 2.5" D BUNDLE, 9.8" L (1500-280)</t>
  </si>
  <si>
    <t>SPACER, X-FOAM, 2 X 2.625 X 14.25 (1500-293)</t>
  </si>
  <si>
    <t>SPACER, X-FOAM, 2 X 2.5 X 20.63 (1500-294)</t>
  </si>
  <si>
    <t>TIE, CABLE, PSH-MNT, NYLON, 0.252" HOLE,3"  BUNDLE (1500-296)</t>
  </si>
  <si>
    <t>BOARD, XPS, 47.83" X 126" X 2", X-FOAM (1500-298)</t>
  </si>
  <si>
    <t>LABEL, GROUNDING, PV FRAME (1500-302)</t>
  </si>
  <si>
    <t>PVM, ASTR, SILICON FILM, 285W, USED (1500-303)</t>
  </si>
  <si>
    <t>CARTON, 16X16X8 (1500-306)</t>
  </si>
  <si>
    <t>BAG, POLY, CLEAR, FLAT, 38X64X2MIL (1500-307)</t>
  </si>
  <si>
    <t>FILM, STRETCH WRAP, 20" WIDTH, 80 GA, BLUE (1500-308)</t>
  </si>
  <si>
    <t>LABEL, SLF ADHESIV, "HIGH VOLTAGE INSIDE" 1"Hx2"W (1500-310)</t>
  </si>
  <si>
    <t>SIGN, AL, "POWERSHADE", PUNCHED, 5"X14" (1500-312)</t>
  </si>
  <si>
    <t>ASSY, TILE, MATR PW-750, 80 WP, DOUBLE MODULE, UL (1500-316)</t>
  </si>
  <si>
    <t>ENCLSR, NEMA 4, STEEL, 12X10X6 (1500-317)</t>
  </si>
  <si>
    <t>PANEL, ENCLOSURE, STEEL, 11X9 (1500-318)</t>
  </si>
  <si>
    <t>SCREW, PH, SLOT, 1/4-20 X 3/8, 18-8 SS (1500-319)</t>
  </si>
  <si>
    <t>WASHER, FLAT, 1/4, 2 OD, 18-8 SS (1500-322)</t>
  </si>
  <si>
    <t>PANEL, ENCLOSURE, 10X6, STEEL, ZN (1500-323)</t>
  </si>
  <si>
    <t>GLOVES, VINYL, DISPOSABLE, MEDIUM, 100/PK (1500-324)</t>
  </si>
  <si>
    <t>PAVER, CAPSTONE, CONCRETE, 200 X 400 X 50 MM (1500-325)</t>
  </si>
  <si>
    <t>SHIELD, WEATHER, ISOLATION TRANSFORMER, 100KVA (1500-326)</t>
  </si>
  <si>
    <t>LABEL, THERMAL TRANSFER PRINTER, 4 X 6 (1500-329)</t>
  </si>
  <si>
    <t>RIBBON, THERMAL TRANSFER PRINTER (1500-330)</t>
  </si>
  <si>
    <t>LABEL, ADHESIVE, BROTHER P-TOUCH, WHT W/BLK, 12MM (1500-331)</t>
  </si>
  <si>
    <t>TAPE, CARTON SEALING, 2" X 60 YDS (1500-332)</t>
  </si>
  <si>
    <t>ASSY, BAR, BUS, 120-TAP, AL, TIN-PLATE (1500-333)</t>
  </si>
  <si>
    <t>SCREW, FH, 1/2-13X2, 18-8 SS (1500-335)</t>
  </si>
  <si>
    <t>STUD, ALL-THREAD, 3/8-16X2, 18-8 SS (1500-337)</t>
  </si>
  <si>
    <t>WASH, FLAT, RND, 1/2", 1" OD (1500-338)</t>
  </si>
  <si>
    <t>SCREW, PH, SLOT, 10-32X3/4, 18-8 SS (1500-339)</t>
  </si>
  <si>
    <t>WASHER, LOCK, EXT. TOOTH, M10, SS (1500-340)</t>
  </si>
  <si>
    <t>INSULATOR, STANDOFF, 2"X1.5"H, 1500V, FRP, 1/4-20 (1500-342)</t>
  </si>
  <si>
    <t>SCREW, BAR, TAP, ILSCO, STEEL, ZN (1500-344)</t>
  </si>
  <si>
    <t>CLIP, BOLT DOWN, SANYO, 1/4" HOLE (1501-635)</t>
  </si>
  <si>
    <t>WASHER, LOCK, SPLIT, #10, .33 OD, 18-8 SS (1501-670)</t>
  </si>
  <si>
    <t>ENCLSR, NEMA 4, STEEL, 72X31X24 (1501-696)</t>
  </si>
  <si>
    <t>PANEL, STEEL, 60 X 26 (1501-697)</t>
  </si>
  <si>
    <t>INSULATOR, STANDOFF, 2" X 2", 2300V, FRP, 3/8-16 (1501-708)</t>
  </si>
  <si>
    <t>LUG, GRNDG, 2AWG-600 MCM, 4-POLE (1501-709)</t>
  </si>
  <si>
    <t>END CAP, GUTTER, DRILL JIG, LEFT, SP 150 (1501-716)</t>
  </si>
  <si>
    <t>END CAP, GUTTER, DRILL JIG, RIGHT, SP 150 (1501-717)</t>
  </si>
  <si>
    <t>GUTTER, DRILL JIG, SP 150 (1501-718)</t>
  </si>
  <si>
    <t>SCREW, SM, HWH, #6-20 X 3/8, 410 SS, PFC (1501-719)</t>
  </si>
  <si>
    <t>DRILL JIG, SP 150 (1501-720)</t>
  </si>
  <si>
    <t>LABEL, PG, SANY, HIP-190BA2, UL, CE (1501-767)</t>
  </si>
  <si>
    <t>SCREW, HH, 3/8-16 X 0.50, 18-8 SS (1501-793)</t>
  </si>
  <si>
    <t>SCREW, HH, 3/8-16 X 1.00, 18-8 SS (1501-795)</t>
  </si>
  <si>
    <t>SWITCH, DISCONNECT, XANTREX, 600A, 600V (1501-796)</t>
  </si>
  <si>
    <t>RIVET, NUT, 1/4-20, 10 GA., ZN (1501-815)</t>
  </si>
  <si>
    <t>BUSHING, CONDUIT REDUCING, 2.5" - 2" (1501-830)</t>
  </si>
  <si>
    <t>SCREW, S-D, S-T, HWH, CSD, #3 PT, 12-14 X 1, ZN (1501-832)</t>
  </si>
  <si>
    <t>WASHER, SPLIT, #12, .37 OD, .06 THK, ZN (1501-833)</t>
  </si>
  <si>
    <t>NIPPLE, FULLY THREADED, 1.5" X 1.75" LG (1501-840)</t>
  </si>
  <si>
    <t>NIPPLE, FULLY THREADED, 2.5" X 2.5" LG (1501-841)</t>
  </si>
  <si>
    <t>INSULATOR, STANDOFF, 1.75" X 1.38", 600 V, 3/8-16 (1501-848)</t>
  </si>
  <si>
    <t>BOLT, HH, 5/16-18 X 1.5, 304SS (1501-854)</t>
  </si>
  <si>
    <t>RAIL, PANEL, UNISTRUT, 76" (1501-855)</t>
  </si>
  <si>
    <t>SPACER TRACKER POWER FRONT (1501-861)</t>
  </si>
  <si>
    <t>SPACER POWERTRACKER REAR (1501-862)</t>
  </si>
  <si>
    <t>DRUM, STEEL, OPEN HEAD, 55 GAL, DOT (1501-909)</t>
  </si>
  <si>
    <t>PVM, UNFR, BPSO MST-45, 45 WP, UL, W/MC (1501-923)</t>
  </si>
  <si>
    <t>PVM, UNFR, BPSO MST-50, 50 WP, UL, W/ MC (1501-924)</t>
  </si>
  <si>
    <t>ASSY, TILE, KYOC FL120-1B, 120 WP, UL (1501-940)</t>
  </si>
  <si>
    <t>ASSY, TILE, KYOC FL158, 158 WP, UL (1501-941)</t>
  </si>
  <si>
    <t>PVM, UNFR, SHAR ND-N6E1D, 146WP, UL, W/MC (1501-957)</t>
  </si>
  <si>
    <t>BBD, FOAM, SHAR ND-N6E1D (1501-958)</t>
  </si>
  <si>
    <t>ASSY, BBD, SHAR ND-N6E1D, 146 WP (1501-959)</t>
  </si>
  <si>
    <t>ASSY, TILE, SHAR ND-N6E1D, 146 WP, UL (1501-960)</t>
  </si>
  <si>
    <t>NIPPLE, GALV. PIPE, 1.5" X 6" LG, THREADED (1501-966)</t>
  </si>
  <si>
    <t>BOX, COMBINER, XANTREX, 10-STRING (1501-968)</t>
  </si>
  <si>
    <t>CLIP, EXTENDED, SANYO, 6" (1501-971)</t>
  </si>
  <si>
    <t>SCREW, PH, 6-32X0.5, SPLIT WASHER, ZN (1502-019)</t>
  </si>
  <si>
    <t>RIVET, NUT, 6-32 X .5, ZN (1502-020)</t>
  </si>
  <si>
    <t>RIVET, NUT, 10-32 X .5, ZN (1502-021)</t>
  </si>
  <si>
    <t>ENCLSR, NEMA 4, 24 X 20 X 6 (1502-022)</t>
  </si>
  <si>
    <t>DATA POCKET, ENCLSR, SMALL (1502-023)</t>
  </si>
  <si>
    <t>STRIP, TERMINAL, FEED-THRU, 12 POLE, .315" (1502-024)</t>
  </si>
  <si>
    <t>DUCT, WIRE, SLOTTED, 1" X 1", ADHESIVE BACKED (1502-025)</t>
  </si>
  <si>
    <t>INVERTER, SMA SUNNYBOY, 1.8 KW, 120VAC (1502-065)</t>
  </si>
  <si>
    <t>SCREW, CAP, HH, 1/4-20 X 1.25, 18-8SS, WITH PATCH (1502-068)</t>
  </si>
  <si>
    <t>UNIT, POWER CONVERSION, NEXTEK (1502-070)</t>
  </si>
  <si>
    <t>CARDBOARD, 3" X 18" PAD, 275# DOUBLE WALL (1502-071)</t>
  </si>
  <si>
    <t>SCREW, CAP, HH, 1/2-13 X 1.0, 18-8SS (1502-106)</t>
  </si>
  <si>
    <t>SCREW, CAP, SH, 1/4-20X1, 18-8 SS (1502-107)</t>
  </si>
  <si>
    <t>SCREW, CAP, FH, PHIL, 1/4-20X1.00, 18-8 SS (1502-108)</t>
  </si>
  <si>
    <t>FUSE BLOCK, CLASS R, 600V, 3-POLE, 100A (1502-109)</t>
  </si>
  <si>
    <t>FUSE BLOCK, CLASS R, 600V, 1-POLE, 100A (1502-110)</t>
  </si>
  <si>
    <t>CLAMP, STANDING SEAM ROOF, S-5-U, 3/8-16 OFFSET (1502-121)</t>
  </si>
  <si>
    <t>BLOCK, TERMINAL, THERMOCOUPLE, 4-POLE (1502-125)</t>
  </si>
  <si>
    <t>CHANNEL, UNISTRUT, P3300SL, HG (1502-126)</t>
  </si>
  <si>
    <t>LUG, TERMINAL, THERMOCOUPLE, T, CU (1502-127)</t>
  </si>
  <si>
    <t>LUG, TERMINAL, THERMOCOUPLE, T, CONST (1502-128)</t>
  </si>
  <si>
    <t>CONDUIT, OFFSET, .5" SIZE, RIGID GALV STEEL (1502-129)</t>
  </si>
  <si>
    <t>FITTING, COMPRESSION, EMT, 1/2" (1502-130)</t>
  </si>
  <si>
    <t>COUPLING, THREADED, RIGID CONDUIT, GALV, 1/2" (1502-131)</t>
  </si>
  <si>
    <t>WIRE, THERMOCOUPLE, T-TYPE, 20 GA. (1502-132)</t>
  </si>
  <si>
    <t>PLUG, CONDUIT, PLASTIC, 3/4" (1502-133)</t>
  </si>
  <si>
    <t>WIRE, 1 TWISTED PAIR, UNSHIELDED, PVC, 20 AWG (1502-134)</t>
  </si>
  <si>
    <t>WIRE, 2 CONDUCTOR, 18 AWG (1502-135)</t>
  </si>
  <si>
    <t>CAR, GOLF, POWERDRIVE 48V CLUB CAR, BLUE (1502-136)</t>
  </si>
  <si>
    <t>NUT, CHANNEL, W/ SPRING, FOR P3300, 1/4-20, SS (1502-137)</t>
  </si>
  <si>
    <t>SCREW, CAP, HH, 1/4-20 X 1-1/2, SS (1502-138)</t>
  </si>
  <si>
    <t>PVM, FR, SHAR NT-S5E1U, 185 WP, UL, W/MC (1502-147)</t>
  </si>
  <si>
    <t>ASSY, BBD, BPSO 585L, DOUBLE (1502-175)</t>
  </si>
  <si>
    <t>ASSY, MET STATION, STD, FREE-STANDING (1502-208)</t>
  </si>
  <si>
    <t>SENSOR, THERMOCOUPLE, MET STATION (1502-210)</t>
  </si>
  <si>
    <t>FUSE, INDICATOR, 600V, CLASS RK5, 70A (1502-227)</t>
  </si>
  <si>
    <t>CONNECTOR, GROUNDING, U-BOLT, CU, 4.5"TUBE, #4 AWG (1502-228)</t>
  </si>
  <si>
    <t>STUD, 3/8-16X3, FULL-THREAD, FIBERGLASS (1500-834)</t>
  </si>
  <si>
    <t>WASHER, 3/8, 2 OD, ZN (1500-835)</t>
  </si>
  <si>
    <t>SHIELD, POLYCARBONATE, CLEAR, 24X6.25X7 (1500-836)</t>
  </si>
  <si>
    <t>SAPCER, FOAM, 2 X 2.5 X 21.5 (1500-841)</t>
  </si>
  <si>
    <t>TRANSFORMER, ISOLATION, 225KVA, 208D:208Y (1500-845)</t>
  </si>
  <si>
    <t>SWITCH, SAFETY, 400A, 600V, NEMA 3R,NON-FUSED,SIEM (1500-846)</t>
  </si>
  <si>
    <t>PAN, RT CURB, PAVER-STYLE, NO TABS, 30" (1500-857)</t>
  </si>
  <si>
    <t>COVER, RT CURB, PAVER-STYLE, NO TABS, 30" (1500-858)</t>
  </si>
  <si>
    <t>WRENCH, TORQUE, 10-50 IN-LBS, 1/4" SQ DRIVE (1500-859)</t>
  </si>
  <si>
    <t>WRENCH, TORQUE, 30-250 IN-LBS, 3/8" SQ DRIVE (1500-860)</t>
  </si>
  <si>
    <t>TRANSFORMER, ISOLATION, 225KVA, 208Y:208Y (1500-864)</t>
  </si>
  <si>
    <t>ASSY, CONDUCTOR EXIT, LG CURB (1500-865)</t>
  </si>
  <si>
    <t>ENCLSR, NEMA 4X, AL, 14X12X6 (1500-883)</t>
  </si>
  <si>
    <t>PANEL, ENCLSR, AL, 14X12 (1500-884)</t>
  </si>
  <si>
    <t>NUT, CHANNEL, W/O SPRING, 1/4-20, SS (1500-885)</t>
  </si>
  <si>
    <t>SCREW, CAP, HH, 1/4-20 X 3/4, 18-8 SS (1500-886)</t>
  </si>
  <si>
    <t>ENCLSR, NEMA 4X, AL, 10X8X4 (1500-888)</t>
  </si>
  <si>
    <t>PANEL, ENCLSR, AL, 10X8 (1500-889)</t>
  </si>
  <si>
    <t>STUD, 3/8-16X4, FULL-THREAD, FIBERGLASS (1500-903)</t>
  </si>
  <si>
    <t>TURNBUCKLE, BODY, 1/4-20, 4.75", SS (1500-919)</t>
  </si>
  <si>
    <t>WIRE ROPE, 1/8"-3/16" BLK PVC  7X19, SS, VINYL (1500-920)</t>
  </si>
  <si>
    <t>SPACER, FOAM, 2 X 2.5 X 43 (1500-925)</t>
  </si>
  <si>
    <t>FUSE BLOCK, 1-POLE, R CLASS, 600V, 101-200A (1500-939)</t>
  </si>
  <si>
    <t>ENCLSR, NEMA 4, STEEL, 60X36X12, LG (1500-940)</t>
  </si>
  <si>
    <t>PANEL, ENCLSR, 60X36, STEEL (1500-941)</t>
  </si>
  <si>
    <t>ASSY, CORNER, CURB, MITERED, INSIDE, BONE (1500-942)</t>
  </si>
  <si>
    <t>ASSY, CORNER, CURB, MITERED, OUTSIDE, BONE (1500-943)</t>
  </si>
  <si>
    <t>BAR, GRND, 6 LUGS, XANTREX (1500-955)</t>
  </si>
  <si>
    <t>PV, MARKETING SAMPLE, ASTR (1500-970)</t>
  </si>
  <si>
    <t>ASSY, TILE, MARKETING SAMPLE, ASTR (1500-973)</t>
  </si>
  <si>
    <t>ASSY, CABLE, SOCKET, UL, 16", 0.63" STRIP (1500-976)</t>
  </si>
  <si>
    <t>ASSY, CABLE, PIN, UL, 16", .63" STRIP (1500-977)</t>
  </si>
  <si>
    <t>ANGLE, 3X3X3/8", INSULATING, ELECTRICAL, FRP (1500-981)</t>
  </si>
  <si>
    <t>SCREW, HH, 10-32 X 1, 18-8 SS (1500-983)</t>
  </si>
  <si>
    <t>BOX, MARKETING SAMPLE (1500-986)</t>
  </si>
  <si>
    <t>WASHER, LOCK, SPLIT, HVY, 3/8, .67 OD, 18-8 SS (1500-989)</t>
  </si>
  <si>
    <t>SCREW, CAP, SH, 3/8-16X2, 18-8 SS (1500-990)</t>
  </si>
  <si>
    <t>INSULATOR, STANDOFF, 2.5"X2.1", 2500V, FRP, 3/8-16 (1500-993)</t>
  </si>
  <si>
    <t>SCREW, HH, 3/8-16 X 0.75, 18-8 SS (1500-995)</t>
  </si>
  <si>
    <t>WASHER, LOCK, SPLIT, XDUTY, 3/8, .691 OD, 18-8 SS (1500-996)</t>
  </si>
  <si>
    <t>CEMENT, SOLVENT, ACRYLIC, FAST-SET (1501-004)</t>
  </si>
  <si>
    <t>ASSY, CABLE, DAS POWER (1501-022)</t>
  </si>
  <si>
    <t>TRANSFORMER, POTENTIAL, 277:120V, 2 FUSES (1501-023)</t>
  </si>
  <si>
    <t>TRANSFORMER, CURRENT, 400:5 (1501-026)</t>
  </si>
  <si>
    <t>TRANSFORMER, CURRENT, 500:5 (1501-027)</t>
  </si>
  <si>
    <t>TRANSFORMER, CURRENT, 800:5 (1501-028)</t>
  </si>
  <si>
    <t>TRANSFORMER, POTENTIAL, 120:120, 2 FUSES (1501-029)</t>
  </si>
  <si>
    <t>RACK, FLOOR MOUNT, 19" X 6' (1501-035)</t>
  </si>
  <si>
    <t>SHELF, UTILITY, FOR RACK, 19" X 6' (1501-036)</t>
  </si>
  <si>
    <t>SUPPORT BASE, OPTIONAL, FOR RACK, 19" X 6' (1501-037)</t>
  </si>
  <si>
    <t>NIPPLE, CONDUIT, RIGID, INSULATED, BUSHED, 2.5" (1501-059)</t>
  </si>
  <si>
    <t>NIPPLE, CONDUIT, RIGID, INSULATED, BUSHED, 2" (1501-060)</t>
  </si>
  <si>
    <t>NIPPLE, CONDUIT, RIGID, INSULATED, BUSHED, 1.5" (1501-061)</t>
  </si>
  <si>
    <t>NIPPLE, CONDUIT, RIGID, INSULATED, BUSHED, 1" (1501-062)</t>
  </si>
  <si>
    <t>CABLE, RIBBON, SC 12 (1501-068)</t>
  </si>
  <si>
    <t>CABLE, SERIAL, 25 PIN MALE TO 25 PIN MALE (1501-069)</t>
  </si>
  <si>
    <t>FUSE, DUAL ELEMENT, 240V, CLASS RK5, 80A (1501-072)</t>
  </si>
  <si>
    <t>LUG, GROUND, LAY-IN QIKLUG, #14-4 AWG (1501-074)</t>
  </si>
  <si>
    <t>INVERTER, PVGTI-225, 225KVA, NON-UL LISTED (1501-076)</t>
  </si>
  <si>
    <t>INHIBITOR, OXIDE, ELECTRICAL (1501-083)</t>
  </si>
  <si>
    <t>SCREW, PH, 10-32X0.5, SPLIT WASHER, ZN (1501-085)</t>
  </si>
  <si>
    <t>METER, INTEGRATED, EMON, 208V, 200A (1501-090)</t>
  </si>
  <si>
    <t>METER, INTEGRATED, EMON, 480V, 400A (1501-095)</t>
  </si>
  <si>
    <t>WIRE, STRND, THHN, 22AWG, BLACK (1501-108)</t>
  </si>
  <si>
    <t>CONN, MULTI-TAP, INSUL, 600MCM-#4, 8-PORT (1501-113)</t>
  </si>
  <si>
    <t>KIT, RT CURB, PAVER-STYLE, NO TABS, 5' (1501-136)</t>
  </si>
  <si>
    <t>KIT, RT CURB, PAVER-STYLE, NO TABS, 30" (1501-137)</t>
  </si>
  <si>
    <t>KIT, STRAPPING, RT CURB (1501-138)</t>
  </si>
  <si>
    <t>SIGN, AL, "208 VOLTS AC", 3"X8"(OBSOLETE) (1501-144)</t>
  </si>
  <si>
    <t>SIGN, AL, "600 VOLTS DC", 3"X8"(OBSOLETE) (1501-145)</t>
  </si>
  <si>
    <t>SCREW, CAP, HH, 1/4-20 X 6", 18-8 SS, FULL THD (1501-148)</t>
  </si>
  <si>
    <t>PVM, UNFR, SIEM SP-70, 70 WP, UL, W/MC (1501-149)</t>
  </si>
  <si>
    <t>ASSY, TILE, SIEM SP-70, 70 WP, DOUBLE MODULE, UL (1501-150)</t>
  </si>
  <si>
    <t>LABEL, MARKETING SAMPLE (1501-154)</t>
  </si>
  <si>
    <t>KIT, TERMINAL/EXIT BOX, 1-4 STR, 1" CONDUIT (1501-157)</t>
  </si>
  <si>
    <t>KIT, TERMINAL/EXIT BOX, 5-11 STR, 1.5" CONDUIT (1501-158)</t>
  </si>
  <si>
    <t>KIT, TERMINAL/EXIT BOX, 12-18 STR, 2" CONDUIT (1501-159)</t>
  </si>
  <si>
    <t>KIT, TERMINAL/EXIT BOX, 19-27 STR, 2.5" CONDUIT (1501-160)</t>
  </si>
  <si>
    <t>WIRE, STRND, THWN, 10AWG, RED (1501-161)</t>
  </si>
  <si>
    <t>ASSY, CORNER, CURB, MITERED, OUTSIDE (1501-168)</t>
  </si>
  <si>
    <t>ASSY, CORNER, CURB, MITERED, INSIDE (1501-169)</t>
  </si>
  <si>
    <t>KIT, CORNER, CURB, MITERED, OUTSIDE (1501-170)</t>
  </si>
  <si>
    <t>KIT, CORNER, CURB, MITERED, INSIDE (1501-171)</t>
  </si>
  <si>
    <t>ENCLSR, NEMA 4, 74.06 X 72.06 X 12.06, STEEL (1501-174)</t>
  </si>
  <si>
    <t>LUG, GRNDG, 600 MCM-2 AWG, 2-POLE, 2-HOLE, AL (1501-175)</t>
  </si>
  <si>
    <t>WIRE, THHN, 3/0 AWG, RED (1501-195)</t>
  </si>
  <si>
    <t>SCREW, S-T, TYPE F, PH, PHIL, 8-32X3/8", SS (1501-198)</t>
  </si>
  <si>
    <t>PVM, FR, SANY HIP-190BA3, 190 WP, UL, W/MC (1501-204)</t>
  </si>
  <si>
    <t>KIT, GROUND, BRAID, SANYO (1501-206)</t>
  </si>
  <si>
    <t>NUT, FLANGE, 1/4-20, 18-8 SS, SERRATED FACE (1501-210)</t>
  </si>
  <si>
    <t>SCREW, CAP, HH, 1/4-20 X 3/4, 18-8SS, WITH PATCH (1501-211)</t>
  </si>
  <si>
    <t>RELAY, INTERTIE, UTILITY, SEL-547 (1501-224)</t>
  </si>
  <si>
    <t>LUG, GRNDG, 350 MCM-6 AWG, 2-POLE (1501-226)</t>
  </si>
  <si>
    <t>NUT, HEX, 1/2-13, ZN, GR 2 (1501-227)</t>
  </si>
  <si>
    <t>SCREW, CAP, HH, 1/2-13 X 1, ZN, GR 2 (1501-228)</t>
  </si>
  <si>
    <t>WASHER, LOCK, 1/2, ZN (1501-229)</t>
  </si>
  <si>
    <t>LUG, GRNDG, 2/0 AWG-14 AWG, 2-POLE (1501-233)</t>
  </si>
  <si>
    <t>WASHER, LOCK, SPLIT, 1/4", 0.49 OD, 18-8 SS (1501-234)</t>
  </si>
  <si>
    <t>LUG, GRNDG, 250 MCM-6 AWG, 2-POLE (1501-235)</t>
  </si>
  <si>
    <t>SCREW, HH, 3/8-16 X 1, ZN (1501-236)</t>
  </si>
  <si>
    <t>NUT, TOOTHED WASHER, 3/8-16, ZN (1501-237)</t>
  </si>
  <si>
    <t>WIRE, STRANDED, TINNED CU, BARE, #12 AWG (1501-238)</t>
  </si>
  <si>
    <t>EYEBOLT, FORGED, 1/4-20, 2", 18-8 SS (1501-240)</t>
  </si>
  <si>
    <t>PIN, LONG PIVOT, .88 X 5.5 GRIP, MT-015 (1501-245)</t>
  </si>
  <si>
    <t>WASHER, FLAT, 7/8, 1.75OD,0 .134T, 18-8/304SS, TYPE AN (1501-246)</t>
  </si>
  <si>
    <t>PIN, ROLL, 5/16 OD X 2 LONG, 18-8/304SS (1501-247)</t>
  </si>
  <si>
    <t>PIN, ROLL, 5/16 OD X 1.25 LONG, 18-8/304SS (1501-248)</t>
  </si>
  <si>
    <t>BOLT, HH, 1/2-13 X 1.5, 304SS (1501-249)</t>
  </si>
  <si>
    <t>WASHER, FLAT, 1/2, 18-8/304SS (1501-250)</t>
  </si>
  <si>
    <t>SCREW, PH, PHIL, 1/4-20 X 5/8, 18-8 SS (1501-251)</t>
  </si>
  <si>
    <t>WASHER, LOCK, SPLIT, 1/2, 18-8/304SS (1501-252)</t>
  </si>
  <si>
    <t>NUT, CHANNEL, 1/2-13, UNISTRUT (1501-253)</t>
  </si>
  <si>
    <t>BOLT, HH, 3/8-16 X 1, 304SS (1501-254)</t>
  </si>
  <si>
    <t>WASHER, FLAT, 3/8, 18-8/304SS (1501-255)</t>
  </si>
  <si>
    <t>NUT, HEX, 3/8-16, 304SS (1501-257)</t>
  </si>
  <si>
    <t>BOLT,CARRIAGE,3/8-16X5.5,1"THRD, SPEC 1506-589 (1501-258)</t>
  </si>
  <si>
    <t>NUT, HVYHX, 3/8-16, SPEC 1506-590 (1501-259)</t>
  </si>
  <si>
    <t>WASHER, LOCK, SPLIT, HVY, 3/8, GR5, GALV B695 GR50 (1501-260)</t>
  </si>
  <si>
    <t>BOLT, HH, 5/16-18 X 1, 304SS (1501-261)</t>
  </si>
  <si>
    <t>WASHER, FLAT, 5/16, 1" OD, 18-8/304SS (1501-262)</t>
  </si>
  <si>
    <t>WASHER, LOCK, SPLIT, 5/16, 18-8/304SS (1501-263)</t>
  </si>
  <si>
    <t>NUT, HEX, 5/16-18, 304SS (1501-264)</t>
  </si>
  <si>
    <t>BOLT, HH, 5/16-18 X 2.5, 304SS (1501-265)</t>
  </si>
  <si>
    <t>WASHER, FLAT, 5/16, 18-8/304SS (1501-266)</t>
  </si>
  <si>
    <t>BOLT, HH, 1/4-20 X 1, 304SS (1501-267)</t>
  </si>
  <si>
    <t>WASHER, FLAT, 1/4, 1" OD, 18-8/304SS (1501-268)</t>
  </si>
  <si>
    <t>WASHER, LOCK, SPLIT, 1/4, 18-8/304SS (1501-269)</t>
  </si>
  <si>
    <t>PIN, SHORT PIVOT, .88 OD X 2.5 GRIP, MT-021 (1501-271)</t>
  </si>
  <si>
    <t>BOLT, HH, 3/4-10 X 3, HDG, A-325 (1501-273)</t>
  </si>
  <si>
    <t>BOLT, HVYHX STRUCTURAL, 3/4-10 X 2.5, HDG, A-325 (1501-274)</t>
  </si>
  <si>
    <t>NUT, HVYHX, 3/4-10, HDG, A194 2H (1501-275)</t>
  </si>
  <si>
    <t>KEY, 0.1875 X 0.1875 X 1.5, 18-8/304SS (1501-276)</t>
  </si>
  <si>
    <t>BANDING, 201 SS, 3/4" WIDE (1501-277)</t>
  </si>
  <si>
    <t>BUCKLE, BANDING, 201 SS, 3/4" WIDE (1501-278)</t>
  </si>
  <si>
    <t>TOOL, BANDING, BAND-IT (1501-279)</t>
  </si>
  <si>
    <t>BEARING, INSERT, TRACKER, MT-036 (1501-283)</t>
  </si>
  <si>
    <t>GEARBOX/LINEAR ACTUATOR, 15 TON, LSW, POT (1501-284)</t>
  </si>
  <si>
    <t>MOTOR, 1/2 HP, 208 VAC, BALDOR (1501-285)</t>
  </si>
  <si>
    <t>MOTOR, 1/2 HP, 115 VAC, BALDOR (1501-286)</t>
  </si>
  <si>
    <t>ACTUATOR, LINEAR, 15 TON, JOYCE DAYTON W/ POT (1501-288)</t>
  </si>
  <si>
    <t>ACTUATOR, LINEAR, 15 TON, W/ DC GEAR, JOYCE DAYTON (1501-289)</t>
  </si>
  <si>
    <t>CONTROLLER, POWERTRACKER, 3-PHASE, US (1501-291)</t>
  </si>
  <si>
    <t>PIER, DRIVE, 12S-40 PIPE, 18', HDG, MT-024 (1501-297)</t>
  </si>
  <si>
    <t>WELDMENT, DRIVE PIER, MT-022 (1501-298)</t>
  </si>
  <si>
    <t>WELDMENT, BEARING PIER, MT-019 (1501-299)</t>
  </si>
  <si>
    <t>CLAMP, PANEL, MT-011 (1501-301)</t>
  </si>
  <si>
    <t>FITTING, FORK STRUT, MT-026 (1501-303)</t>
  </si>
  <si>
    <t>PLATE, DRIVE SIDE, MT-020 (1501-304)</t>
  </si>
  <si>
    <t>WELDMENT, DRIVE PIVOT, MT-023 (1501-305)</t>
  </si>
  <si>
    <t>PLATE, MOUNTING, MT-025 (1501-306)</t>
  </si>
  <si>
    <t>WELDMENT, CENTRAL, MT-009 (1501-308)</t>
  </si>
  <si>
    <t>CLIP, RAIL, MT-039 (1501-314)</t>
  </si>
  <si>
    <t>BAR, RAIL, MT-040 (1501-315)</t>
  </si>
  <si>
    <t>TUBING, SQUARE, 4 X 4 X 11GA, 20' LONG (1501-316)</t>
  </si>
  <si>
    <t>PEDESTAL, BEARING, 4.5" OD X 7 GA, 12' LONG (1501-317)</t>
  </si>
  <si>
    <t>RAIL, PANEL, UNISTRUT, 80" (1501-318)</t>
  </si>
  <si>
    <t>RAIL, PANEL, UNISTRUT, 96" (1501-319)</t>
  </si>
  <si>
    <t>RAIL, PANEL, UNISTRUT, 100" (1501-320)</t>
  </si>
  <si>
    <t>RAIL, PANEL, UNISTRUT, 104" (1501-321)</t>
  </si>
  <si>
    <t>RAIL, PANEL, UNISTRUT, 108" (1501-322)</t>
  </si>
  <si>
    <t>END CAP, TUBE, POWERTRACKER, MT-037 (1501-323)</t>
  </si>
  <si>
    <t>KIT, GROUND LUG, 56 &amp; 72-STRING COMB. BOX (1501-336)</t>
  </si>
  <si>
    <t>WASHER, LOCK, STAR, .25 ID, .50 OD, SS (1501-337)</t>
  </si>
  <si>
    <t>INSULATOR, STANDOFF, 2"X1.5", 1500V, FRP, 3/8-16 (1501-361)</t>
  </si>
  <si>
    <t>INSULATOR, STANDOFF, 2"X1.75", 2000V, FRP, 3/8-16 (1501-362)</t>
  </si>
  <si>
    <t>NUT, HEX, 1/2-13, 18-8 SS (1501-363)</t>
  </si>
  <si>
    <t>STRAP, CORNER, COVER, CURB, MITERED (1501-367)</t>
  </si>
  <si>
    <t>NUT, LIQUID-TIGHT, ZINC, DIE-CAST, 1/2" NPT (1501-374)</t>
  </si>
  <si>
    <t>NIPPLE, GALV. PIPE, 2.5" X 8" LG, THREADED (1501-404)</t>
  </si>
  <si>
    <t>NIPPLE, GALV. PIPE, 2.0" X 8" LG, THREADED (1501-405)</t>
  </si>
  <si>
    <t>NIPPLE, GALV. PIPE, 1.5" X 8" LG, THREADED (1501-406)</t>
  </si>
  <si>
    <t>NIPPLE, GALV. PIPE, 1.0" X 8" LG, THREADED (1501-407)</t>
  </si>
  <si>
    <t>BOLT, ANCHOR STUD, 5/8" X 7", HILTI KWIK II (1501-415)</t>
  </si>
  <si>
    <t>KIT, TERMINAL/EXIT BOX, LG CURB, 1.5" CONDUIT (1501-417)</t>
  </si>
  <si>
    <t>SCREW, THREAD ROLLING, HH, 8-32 X 3/8", SS (1501-503)</t>
  </si>
  <si>
    <t>PEDESTAL, BEARING, 4.5" OD X 7 GA, 16' LONG (1501-508)</t>
  </si>
  <si>
    <t>COVER, CORNER, CURB, OUTSIDE, RIGHT, BONE (1501-538)</t>
  </si>
  <si>
    <t>COVER, CORNER, CURB, OUTSIDE, LEFT, BONE (1501-539)</t>
  </si>
  <si>
    <t>COVER, CORNER, CURB, INSIDE, RIGHT, BONE (1501-540)</t>
  </si>
  <si>
    <t>STRAP, COVER, CORNER, CURB, MITERED, BONE (1501-542)</t>
  </si>
  <si>
    <t>LUG, LAY-IN, #4-14, CU, TINNED, DIRECT BURIAL (1501-544)</t>
  </si>
  <si>
    <t>ASSY, TILE, SANY HIP-190BA2, FRAMED, 190 WP, UL (1501-567)</t>
  </si>
  <si>
    <t>TRANSFORMER, ISOLATION, 100KVA, 208Y:208Y (1501-569)</t>
  </si>
  <si>
    <t>ARRESTOR, LIGHTNING, 1-PH,600V, 3-WIRE (1501-571)</t>
  </si>
  <si>
    <t>BOARD, XPS, 50.0" X 90.5" X 2", X-FOAM (1501-599)</t>
  </si>
  <si>
    <t>WASHER, STAR, #6, SS (1501-606)</t>
  </si>
  <si>
    <t>ASSY, COMB.BOX, STD, 35 STR - USE 1504-614 (1503-721)</t>
  </si>
  <si>
    <t>PANEL, 30 x 20 (1503-722)</t>
  </si>
  <si>
    <t>SCREW, CAP,HH, 1/4-20 X 1.25, 8-18 SS, FULL THD (1503-733)</t>
  </si>
  <si>
    <t>COVER, TRAY, WIRING, TRACKER &amp; SHADE STRUCTURES (1503-762)</t>
  </si>
  <si>
    <t>END CAP, TRAY, WIRING, RIGHT, TRACKER &amp; SHADE (1503-767)</t>
  </si>
  <si>
    <t>END CAP, TRAY, WIRING, LEFT, TRACKER &amp; SHADE (1503-768)</t>
  </si>
  <si>
    <t>PVM, UNFR, SUNP, 63 WP, SUNTILE (1503-813)</t>
  </si>
  <si>
    <t>BUS BAR, POSITIVE, 35-STRING, 2.25" BAR STOCK (1503-859)</t>
  </si>
  <si>
    <t>BUS BAR, NEGATIVE, 35-STRING, 2.25" BAR STOCK (1503-860)</t>
  </si>
  <si>
    <t>LUG, GROUNDING, 4/0-6 AWG, 4-POLE (1503-861)</t>
  </si>
  <si>
    <t>BUS BAR, GROUND, 35 STRING (1503-885)</t>
  </si>
  <si>
    <t>BOLT, HH, 1/2-13 X .5, 18-8 SS (1503-888)</t>
  </si>
  <si>
    <t>ENCLSR, NEMA 4, 30 X 24 X 8 (1503-890)</t>
  </si>
  <si>
    <t>FIXTURE, CLEAVAGE, TEST, L, ALUM, ASTM, D1062 (1503-901)</t>
  </si>
  <si>
    <t>SCREW, S-D, HWH, #14 X 3/4, #3 PT, 410SS (1503-909)</t>
  </si>
  <si>
    <t>SCREW, S-T, TYPE F, PH, PHIL, 6-32X3/8", 410SS (1503-918)</t>
  </si>
  <si>
    <t>TUBING, SQUARE, 4 X 4 X 11GA, 24 LONG (1503-921)</t>
  </si>
  <si>
    <t>TAPE, ALUMINUM, 3M 425 , 2" WIDE X 2 MILS X 60 YDS (1503-925)</t>
  </si>
  <si>
    <t>ASSY, DC VOLTAGE DIVIDER CIRCUIT (1503-961)</t>
  </si>
  <si>
    <t>FUSE BLOCK, CLASS R, 600V, 1-POLE, 600A (1504-038)</t>
  </si>
  <si>
    <t>HOSE, EPDM, VALUFLEX, 1-1/4" ID, BLACK (1504-039)</t>
  </si>
  <si>
    <t>HANGER, CONDUIT, 1 3/4" OD, 1/4" HOLE, W/ BOLT, SS (1504-040)</t>
  </si>
  <si>
    <t>PIPE STRAP, RIGID CONDUIT, TWO HOLE, 1 1/4", SS (1504-041)</t>
  </si>
  <si>
    <t>ASSY, CABLE, JUMPER, MC, 36", 4MM SQ,1000V,DBL INS (1504-049)</t>
  </si>
  <si>
    <t>BOLT, HH, 1/2-13 X .75, 18-8 SS (1504-069)</t>
  </si>
  <si>
    <t>BOX, COMBINER, SMA, 52-STRING, 42X30X20, ETL (1504-070)</t>
  </si>
  <si>
    <t>FITTING, HOSE, BARBED/MALE, POLYPRO, 1 1/4" ID (1504-081)</t>
  </si>
  <si>
    <t>LOCKNUT, STEEL, RIGID CONDUIT, 1.25" (1504-082)</t>
  </si>
  <si>
    <t>DUCT, WIRE, SLOTTED, 1.5" X 1.5", ADHESIVE BACKED (1504-095)</t>
  </si>
  <si>
    <t>ENCLSR, NEMA 4, 4.72" X 2.5" X 0.6" (1504-101)</t>
  </si>
  <si>
    <t>FUSE, FAST ACTING, 1A (1504-102)</t>
  </si>
  <si>
    <t>RESISTOR, 0.5W, 1%, 562 KOHM (1504-103)</t>
  </si>
  <si>
    <t>RESISTOR, 0.5W, 1%, 35.7 KOHM (1504-104)</t>
  </si>
  <si>
    <t>RESISTOR, 0.5W, 1%, 2.49 KOHM (1504-105)</t>
  </si>
  <si>
    <t>HEADER, PCB BOARD MOUNT, 2 POLE (1504-106)</t>
  </si>
  <si>
    <t>WIRE, STRND, THHN, 18AWG, RED, FT (1504-107)</t>
  </si>
  <si>
    <t>WIRE, STRND, THHN, 18 AWG, BLACK, FT (1504-108)</t>
  </si>
  <si>
    <t>TERMINAL, RING, INSULATED, #18 AWG, 1/2" STUD (1504-109)</t>
  </si>
  <si>
    <t>PAD, FOOT, RFT10 (1504-120)</t>
  </si>
  <si>
    <t>PLATE, ROUND, PAD, FOAMLESS (1504-121)</t>
  </si>
  <si>
    <t>CLIP, BOTTOM, GROUNDING, FOR S5 CLAMP (1504-125)</t>
  </si>
  <si>
    <t>RIVET, BLIND, 1/8 X 1/4L, SS BODY, SS MANDREL (1504-169)</t>
  </si>
  <si>
    <t>INVERTER, PV100S-480 (OBSOLETE, SEE 1506-492) (1504-215)</t>
  </si>
  <si>
    <t>ASSY, TILE, SHAR ND-N6E1D, 146 WP, PET, UL (1504-229)</t>
  </si>
  <si>
    <t>TORQUE ARM, CENTRAL, BOLT ON (1504-240)</t>
  </si>
  <si>
    <t>TUBING, SQUARE, 4 X 4 X 11GA, 18'-2" LONG (1504-241)</t>
  </si>
  <si>
    <t>TOP PLATE, TORQUE ARM, BOLT-ON (1504-282)</t>
  </si>
  <si>
    <t>BOLT, HVYHX, 5/8-11X7, GR5, GALV B695 GR50, ASME B18.2.1 (1504-290)</t>
  </si>
  <si>
    <t>NUT, HVYHX, 5/8-11, MECH. GALV. (1504-291)</t>
  </si>
  <si>
    <t>WASHER, FLAT, 5/8, F436, MECH. GALV (1504-292)</t>
  </si>
  <si>
    <t>WASHER, LOCK, SPLIT, 5/8, MECH. GALV (1504-293)</t>
  </si>
  <si>
    <t>CLIP, RAIL, 2.77" (1504-317)</t>
  </si>
  <si>
    <t>BAR, RAIL, 2-11/16" (1504-318)</t>
  </si>
  <si>
    <t>BOX, EXIT, DEFLECTOR, REAR, FOAMLESS (OBSOLETE) (1504-321)</t>
  </si>
  <si>
    <t>BOX, COMBINER, SMA, 28-STRING, 20X20X8, UL (1504-327)</t>
  </si>
  <si>
    <t>TUBING, SQUARE, 4 X 4 X 11GA, 34-3" LONG (1504-333)</t>
  </si>
  <si>
    <t>STRUT, DRIVE PIER ALIGNMENT, TRACKER, NS60 EW50.5 (1504-377)</t>
  </si>
  <si>
    <t>PEDESTAL, BEARING, 4.5" OD X 7 GA, 9.25' LONG (1504-379)</t>
  </si>
  <si>
    <t>PEDESTAL, BEARING, 4.5" OD X 7 GA, 13.5' LONG (1504-380)</t>
  </si>
  <si>
    <t>PEDESTAL, BEARING, 4.5" OD X 7 GA, 15' LONG (1504-381)</t>
  </si>
  <si>
    <t>TUBING, SQUARE, 4 X 4 X 11GA, 21'-6" LONG (1504-402)</t>
  </si>
  <si>
    <t>PVM, FR, SHAR ND-6AE1D, 200 WP, UL, W/MC (1504-405)</t>
  </si>
  <si>
    <t>BOARD, XPS, 42" X 134" X 2", PANEL CORE 30 (1504-427)</t>
  </si>
  <si>
    <t>PVM, UNFR, SHAR ND-U0E1D, 200WP, UL, W/MC (1504-432)</t>
  </si>
  <si>
    <t>FUSE, T-TRON VERY FAST-ACTING, JJS CLASS T, 175A (1504-443)</t>
  </si>
  <si>
    <t>INSULATOR, STANDOFF, 1.125" X 1", 600 V, 1/4-20 (1504-455)</t>
  </si>
  <si>
    <t>BOLT, HH, 1/4-20 X .3, SS (1504-457)</t>
  </si>
  <si>
    <t>SHIELD, BUS BAR, 56 STRING COMBINER BOX (1504-458)</t>
  </si>
  <si>
    <t>SHIELD, BUS BAR, FOR 35 STRING COMBINER BOX (1504-459)</t>
  </si>
  <si>
    <t>CONNECTOR, SOCKET, MC TYPE 3, 3 MM, UL, 10 AWG, PV-KBT3II UR (32.0002/UR) (1504-460)</t>
  </si>
  <si>
    <t>CONNECTOR, PIN, MC TYPE 3, 3 MM, UL, 10 AWG, PV-KST3II UR (32.0003/UR) (1504-461)</t>
  </si>
  <si>
    <t>WIREWAY, LONG, ALUMINUM, SHARP, 200W (1504-471)</t>
  </si>
  <si>
    <t>STRIP, RUBBER, WIREWAY, SHARP, 200W (1504-472)</t>
  </si>
  <si>
    <t>ASSY, SOUTH SPACER, 200W , SHARP (1504-473)</t>
  </si>
  <si>
    <t>DEFLECTOR, NORTH, RFT-10, SHARP 200, 60 DEG (OBSOLETE) (1504-480)</t>
  </si>
  <si>
    <t>DATALOGGER, ISYS, PVM-NET (1504-481)</t>
  </si>
  <si>
    <t>INSTRUMENT, POWER MEASUREMENT, 400A, MODBUS, ISYS (1504-482)</t>
  </si>
  <si>
    <t>SENSOR, TEMPERATURE, AMBIENT AIR, ISYS (1504-483)</t>
  </si>
  <si>
    <t>SENSOR, TEMPERATURE, MODULE CELL, ISYS (1504-484)</t>
  </si>
  <si>
    <t>PYRANOMETER, ISYS (1504-485)</t>
  </si>
  <si>
    <t>SENSOR, ANEMOMETER, ISYS (1504-486)</t>
  </si>
  <si>
    <t>CLIP, PV RETAINING, SOUTH, RFT10, SHARP 200 (OBSOLETE) (1504-589)</t>
  </si>
  <si>
    <t>BUS BAR, POSITIVE, 56-STRING, 2" BAR STOCK (1504-593)</t>
  </si>
  <si>
    <t>BUS BAR, NEGATIVE, 56 STRING, 2" BAR STOCK (1504-594)</t>
  </si>
  <si>
    <t>BUS BAR, POSITIVE, 35-STRING, 2" BAR STOCK (1504-595)</t>
  </si>
  <si>
    <t>MAGNET, BLOCK, CERAMIC, 1.88" X 0.88" X 0.39" (1504-607)</t>
  </si>
  <si>
    <t>CONNECTOR, 2-POLE, INLINE (1504-608)</t>
  </si>
  <si>
    <t>ASSY, COMB. BOX, STD, 16 X 12, 7-12 STR (1504-611)</t>
  </si>
  <si>
    <t>ASSY, COMB. BOX, STD, 30 X 24, 19-35 STR (1504-614)</t>
  </si>
  <si>
    <t>ASSY, COMB. BOX, 56-STRING, 36 X 30 (1504-615)</t>
  </si>
  <si>
    <t>BBD, FOAM, SHAR ND-U0E1D, 200WP (1504-616)</t>
  </si>
  <si>
    <t>ASSY, BBD, SHAR ND-U0E1D, 200WP (1504-617)</t>
  </si>
  <si>
    <t>ASSY, TILE, SHAR ND-U0E1D, 200WP (1504-618)</t>
  </si>
  <si>
    <t>ENCLSR, NEMA 4, 42 X 36 X 10 (1504-646)</t>
  </si>
  <si>
    <t>PANEL, 42 X 36 (1504-647)</t>
  </si>
  <si>
    <t>BLOCK, POWER DISTR, 2 X 4, 500MCM, 2-POLE (1504-648)</t>
  </si>
  <si>
    <t>LUG, LAY-IN, 250MCM-#6 (1504-649)</t>
  </si>
  <si>
    <t>ASSY, DC FUSE BOX, 8 X 200A, COMBINER BLOCK (1504-650)</t>
  </si>
  <si>
    <t>PANEL, 36 X 24 (1504-655)</t>
  </si>
  <si>
    <t>BLOCK, POWER DISTR, 2 X 4, 500MCM, 1-POLE (1504-658)</t>
  </si>
  <si>
    <t>ASSY, DC FUSE BOX, 4 X 200A, COMBINER BLOCK (1504-659)</t>
  </si>
  <si>
    <t>LUG, LAY-IN, 600MCM-#2, 2-POLE (1504-660)</t>
  </si>
  <si>
    <t>ASSY, DC FUSE BOX, 4 X 400A (1504-661)</t>
  </si>
  <si>
    <t>ASSY, DC FUSE BOX, 2 X 400A (1504-662)</t>
  </si>
  <si>
    <t>BUS BAR, NEGATIVE, 35-STRING, 2" BAR STOCK (1504-681)</t>
  </si>
  <si>
    <t>PVM, FR, SHAR ND-6AE3D, 200 WP, IEC, W/MC (1504-738)</t>
  </si>
  <si>
    <t>INSTRUMENT, POWER MEASUREMENT, 300A, MODBUS, ISYS (1504-740)</t>
  </si>
  <si>
    <t>SCREW DRIVER, TORQUE, ADJUSTABLE, 10-50 LB-IN (1504-743)</t>
  </si>
  <si>
    <t>DEFLECTOR, WEST, RFT10, SHARP 200 (OBSOLETE) (1504-744)</t>
  </si>
  <si>
    <t>DEFLECTOR, EAST, RFT-10, SHARP 200 (OBSOLETE) (1504-745)</t>
  </si>
  <si>
    <t>BLOCK, TERMINAL, IEC, 600V, 50A (1504-747)</t>
  </si>
  <si>
    <t>CLAMP, HOSE, WORM DRIVE, 1/2" WIDE, 5" ID, 301 SS (1502-229)</t>
  </si>
  <si>
    <t>RING, HOSE SUPPORT, ROUTER DUST SUPPORT ASSEMBLY (1502-238)</t>
  </si>
  <si>
    <t>ASSEMBLY, ROUTER DUST HOSE SUPPORT (1502-240)</t>
  </si>
  <si>
    <t>CONNECTOR, MULTI-TAP, 8 POS, CLEAR INSULATED (1502-246)</t>
  </si>
  <si>
    <t>LUG, GRNDG, 3 POLE, AWG350 (1502-248)</t>
  </si>
  <si>
    <t>CORNER, GEN II CURB, INSIDE (1502-255)</t>
  </si>
  <si>
    <t>CORNER, GEN II CURB, OUTSIDE (1502-256)</t>
  </si>
  <si>
    <t>BRACKET, MOUNTING, PYRANOMETER, MET STATION (1502-276)</t>
  </si>
  <si>
    <t>SWITCH, DC, 2P, 400A, 600VDC, NEMA 1, UNFUSD,INDOR (1502-278)</t>
  </si>
  <si>
    <t>CHANNEL, STRUT, 1 5/8" X 13/16 X 10', 14GA, HG (1502-291)</t>
  </si>
  <si>
    <t>BRACKET, STRUT, 90, HG (1502-292)</t>
  </si>
  <si>
    <t>BASE, LEVELING, PYRANOMETER (1502-293)</t>
  </si>
  <si>
    <t>FUSE, DUAL ELEMENT, 240V, CLASS RK5, 70A (1502-309)</t>
  </si>
  <si>
    <t>PVM, FR, ASTR AP-75, 75 WP, UL, W/O MC (1502-335)</t>
  </si>
  <si>
    <t>SCREW, PH, 6-32X0.75, SPLIT WASHER, ZN (1502-336)</t>
  </si>
  <si>
    <t>NUT, TOOTHED WASHER, 6-32 (1502-337)</t>
  </si>
  <si>
    <t>WASHER, FENDER, #10, 1.25" OD, ZN (1502-371)</t>
  </si>
  <si>
    <t>BOARD, XPS, 47.6" X 98.8" X 1.97", X-FOAM (1502-375)</t>
  </si>
  <si>
    <t>INVERTER, BALLARD, 75KW, 208V (1502-388)</t>
  </si>
  <si>
    <t>TRANSFORMER, 15KVA, 480V:208V, W/BRKRS,MINI P-ZONE (1502-392)</t>
  </si>
  <si>
    <t>PVM, UNFR, SANY HIP-190CA(#), 190 WP, UL, W/MC (1502-396)</t>
  </si>
  <si>
    <t>LABEL, AL, TRACKER, 1"x3", PATENT, NO. 6058930 (1502-413)</t>
  </si>
  <si>
    <t>NUT, PEM TYPE, 4-40 X .5", SS (1502-417)</t>
  </si>
  <si>
    <t>SCREW, PH, 4-40 X .5, SS (1502-418)</t>
  </si>
  <si>
    <t>ENCLSR, NEMA 4X, AL, 8 X 6 X 3.5 (1502-419)</t>
  </si>
  <si>
    <t>PANEL, ENCLSR, 8 X 6, STEEL (1502-420)</t>
  </si>
  <si>
    <t>NUT, PEM TYPE, 6-32 X .5 (1502-421)</t>
  </si>
  <si>
    <t>TAP, SPLIT BOLT, CU, SERVIT, #10-#3 AWG, 2-WIRE (1502-437)</t>
  </si>
  <si>
    <t>CLAMP, HOSE, WORM DRIVE, 1/2" WIDE, 4.5" ID., SS (1502-438)</t>
  </si>
  <si>
    <t>NUT, HEX, 3/8-16, SILICON BRONZE (1502-439)</t>
  </si>
  <si>
    <t>WASHER, LOCK, SPLIT, 3/8, SILICON BRONZE (1502-440)</t>
  </si>
  <si>
    <t>BRAID, GROUNDING, TINNED CU, #3 AWG (1502-441)</t>
  </si>
  <si>
    <t>CLIP, WIRE ROPE, 1/8", SS (1502-460)</t>
  </si>
  <si>
    <t>SHUNT, PORTABLE, 50 MILLIVOLT, 200A (1502-494)</t>
  </si>
  <si>
    <t>SHUNT, SWITCHBOARD, 50 MILLIVOLT, 400A (1502-495)</t>
  </si>
  <si>
    <t>ASSY, TILE, SANY HIP-190CA2, UNFRAMED, 190 WP, UL (1502-500)</t>
  </si>
  <si>
    <t>LABEL, PG, SANY, HIP-190CA2, UL, CE (1502-501)</t>
  </si>
  <si>
    <t>ASSY, PG TILE, BPSO BP3160L, 160 WP, UL (1502-523)</t>
  </si>
  <si>
    <t>ASSY, BBD, BPSO BP3160L (1502-526)</t>
  </si>
  <si>
    <t>SCREW, FOAM, 3" (1502-547)</t>
  </si>
  <si>
    <t>CLAMP, STANDING SEAM ROOF, S-5-U, 1/4-20 CNTRD TOP (1502-560)</t>
  </si>
  <si>
    <t>SCREW, CAP, HH, 1/4-20 X 1, ASTM F593C, W/ PATCH (1502-561)</t>
  </si>
  <si>
    <t>CURB, NO BALLAST, FOLDING, ONE-PIECE (1502-570)</t>
  </si>
  <si>
    <t>PAN, RT CURB, PAVER-STYLE, W/ SCREW HOLES, 5' (1502-571)</t>
  </si>
  <si>
    <t>PAN, RT CURB, PAVER-STYLE, W/ SCREW HOLES, 30" (1502-572)</t>
  </si>
  <si>
    <t>SPACER, X-FOAM, 2 X 2.38 X 20.63 (1502-588)</t>
  </si>
  <si>
    <t>SPACER, X-FOAM, 2 X 2.5 X 14.25 (1502-589)</t>
  </si>
  <si>
    <t>PVM, FR, SHAR NT175U1, 175 WP, UL, W/MC (1502-616)</t>
  </si>
  <si>
    <t>CHANNEL, ANCHOR, RT CURB, 2X6X16, 7/8" HOLE (1502-675)</t>
  </si>
  <si>
    <t>U-BOLT,SQ,3/8-16,4"ID,5.5"LG, SPEC 1506-678 (1502-778)</t>
  </si>
  <si>
    <t>U-BOLT,SQ,3/8-16,4"ID,5.5"LG, SPEC 1506-678 (1502-779)</t>
  </si>
  <si>
    <t>LABEL, SLF ADHESIV, "DC CONDUCTORS ENERG" 2"Hx10"W (1502-780)</t>
  </si>
  <si>
    <t>BOX, TRANSITION EXIT, CONDUCTOR, GEN II CURB, 2.5" (1502-837)</t>
  </si>
  <si>
    <t>ASSY, KIOSK (1502-876)</t>
  </si>
  <si>
    <t>PVM, FR, SHAR NT-5AE3D, 175 WP, IEC, W/MC (1502-894)</t>
  </si>
  <si>
    <t>SUPPORT, PV, MOUNTING, TORQUE TUBE, SANYO (1502-916)</t>
  </si>
  <si>
    <t>LABEL, SHIPPING, BLANK, PAPER, 4X6", CASE 4400 PCS (1502-945)</t>
  </si>
  <si>
    <t>RIBBON, PRINTER, SHIP LABEL, 4.33"x1476' (1502-946)</t>
  </si>
  <si>
    <t>RIBBON, PRINTER, LABEL, PV MODULE (1502-947)</t>
  </si>
  <si>
    <t>LABEL, PV MODULE, BLANK, ULTRAPLATE, CASE 9200 PCS (1502-948)</t>
  </si>
  <si>
    <t>PYRANOMETER, LICOR LI200X-L15 (1502-957)</t>
  </si>
  <si>
    <t>CLIP, RAIL, MT-039, PRE-PL (1502-958)</t>
  </si>
  <si>
    <t>BOARD, XPS, 41.25" X 96.25" X 2", PANEL CORE 30 (1502-962)</t>
  </si>
  <si>
    <t>PVM, FR, SANY HIP-190CA2, 190 WP, UL, W/MC, BLEM (1502-967)</t>
  </si>
  <si>
    <t>ASSY, TILE, SANY HIP-CA2, 190 WP, UL, BLEMISH (1502-981)</t>
  </si>
  <si>
    <t>CHANNEL, C, 6061-T6 ALUM, 6 X 3.25  X .21 X 25 FT (1502-993)</t>
  </si>
  <si>
    <t>ASSY, DC FUSE BOX, 5 FUSE, MAINT BLDGS, FRESNO (1503-017)</t>
  </si>
  <si>
    <t>ASSY, DC FUSE BOX, 3 FUSE, BUS BLDG B, FRESNO (1503-018)</t>
  </si>
  <si>
    <t>TUBING, SQUARE, 4 X 4 X 11GA, 38 LONG (1503-031)</t>
  </si>
  <si>
    <t>INVERTER, BALLARD, 75KW, 480V (1503-032)</t>
  </si>
  <si>
    <t>CONTROLLER, POWERTRACKER, 3-PHASE, EURO (1503-036)</t>
  </si>
  <si>
    <t>BOARD, XPS, 50.0" X 92.5" X 2", PANEL CORE 30 (1503-042)</t>
  </si>
  <si>
    <t>BOLT,CARRIAGE,3/8-16X1.5, SPEC 1506-589 (1503-047)</t>
  </si>
  <si>
    <t>WASHER, LOCK, SPLIT, 5/16, GALV B695 GR50 (1503-053)</t>
  </si>
  <si>
    <t>NUT, HEX, FULL, 5/16-18, GALV B695 GR50 (1503-054)</t>
  </si>
  <si>
    <t>CLIP, BOLT DOWN, SANYO, 3/8" HOLE (1503-055)</t>
  </si>
  <si>
    <t>INVERTER, SINVERT 340KVA MASTER (1503-059)</t>
  </si>
  <si>
    <t>INVERTER, SINVERT 340KVA SLAVE (1503-060)</t>
  </si>
  <si>
    <t>INVERTER, SINVERT 300KVA MASTER (1503-061)</t>
  </si>
  <si>
    <t>INVERTER, SINVERT 300KVA SLAVE (1503-062)</t>
  </si>
  <si>
    <t>BOX, SUBARRAY, GA6 (1503-063)</t>
  </si>
  <si>
    <t>BOX, MAIN ARRAY, KK3 (1503-064)</t>
  </si>
  <si>
    <t>SECTIONALIZER, DC BUSBAR, BAVARIA (1503-065)</t>
  </si>
  <si>
    <t>CONNECTION, MODEM, UNIT 1, BAVARIA (1503-066)</t>
  </si>
  <si>
    <t>CONNECTION, MODEM, UNIT 2, BAVARIA (1503-067)</t>
  </si>
  <si>
    <t>SOFTWARE, WEB'LOG, BAVARIA (1503-069)</t>
  </si>
  <si>
    <t>UNIT, SYMMETRY MONITORING, 9 DC-INPUTS, BAVARIA (1503-070)</t>
  </si>
  <si>
    <t>UNIT, SYMMETRY MONITORING, 6 DC-INPUTS, BAVARIA (1503-071)</t>
  </si>
  <si>
    <t>HEATER, CABINET, BAVARIA (1503-072)</t>
  </si>
  <si>
    <t>INFEED, EXTERNAL, BAVARIA (1503-073)</t>
  </si>
  <si>
    <t>SYSTEM, WINCC, BAVARIA (1503-074)</t>
  </si>
  <si>
    <t>PANEL, AC DISTRIBUTION, AUX LOADS, BAVARIA (1503-075)</t>
  </si>
  <si>
    <t>STRUT, BEARING PIER ALIGNMENT, TRACKER (1503-077)</t>
  </si>
  <si>
    <t>INSERT, TORQUE TUBE, TRACKER (1503-078)</t>
  </si>
  <si>
    <t>END CAP, TUBE, POWERTRACKER, DEUTSCH (1503-079)</t>
  </si>
  <si>
    <t>CURB, PAN, WITH TABS, 1-1/2" METAL ROOFING, 5' (1503-095)</t>
  </si>
  <si>
    <t>U-BOLT,SQ,M10,4"ID,6.5"LG, SPEC 1506-678 (1503-096)</t>
  </si>
  <si>
    <t>NUT, HEX, M10, SPEC 1506-590 (1503-098)</t>
  </si>
  <si>
    <t>WASHER, LOCK, SPLIT, M10, MECH. GALV (1503-099)</t>
  </si>
  <si>
    <t>LABEL, PG, UNIVERSAL (1503-100)</t>
  </si>
  <si>
    <t>BOLT, HH, M10 X 5.5, GR5, GALV B695 GR50 (1503-101)</t>
  </si>
  <si>
    <t>WASHER, FLAT, M10, GALV B695 GR50 (1503-105)</t>
  </si>
  <si>
    <t>CURB, PAN, WITH TABS, 1-1/2" METAL ROOFING, 30" (1503-111)</t>
  </si>
  <si>
    <t>METER, GLASS JAR, ONE WAY,  CLASS 200, 2KYZ (1503-122)</t>
  </si>
  <si>
    <t>METER, GLASS JAR, ONE WAY, CLASS 320, 2KYZ (1503-123)</t>
  </si>
  <si>
    <t>PACKAGE, MOUNTING HARDWARE/FUSES-ALPHA PLUS METERS (1503-124)</t>
  </si>
  <si>
    <t>CABINET,METER,NO SW,CLASS 200, 480V, 7 JAW,MLBNK (1503-125)</t>
  </si>
  <si>
    <t>CABINET, METER &amp; PRES SW, CLASS320, 7JAW, 480V, HS (1503-126)</t>
  </si>
  <si>
    <t>CABINET, METER &amp; PULL SW, CLASS200, 7JAW, 480V, HS (1503-127)</t>
  </si>
  <si>
    <t>FUSE, T-TRON VERY FAST-ACTING, JJS CLASS T, 400A (1503-128)</t>
  </si>
  <si>
    <t>FUSE, T-TRON VERY FAST-ACTING, JJS CLASS T, 200A (1503-129)</t>
  </si>
  <si>
    <t>FUSE, T-TRON VERY FAST-ACTING, JJS CLASS T, 350A (1503-130)</t>
  </si>
  <si>
    <t>CLIP, RAIL, 2" (1503-143)</t>
  </si>
  <si>
    <t>BOLT,CARRIAGE,M10X140,25MM THRD, SPEC 1506-589 (1503-158)</t>
  </si>
  <si>
    <t>CLAMP, PV MOUNT, POWERROOF, 2", SHARP (1503-171)</t>
  </si>
  <si>
    <t>ADHESIVE, JET-WELD (1503-174)</t>
  </si>
  <si>
    <t>ASSY, TILE, SANY HIP-BA3, FRAMED, 190 WP, PET BACK (1503-180)</t>
  </si>
  <si>
    <t>PVM, FR, SANY HIP-190BA3, 190 WP, PET BACKED, UL (1503-181)</t>
  </si>
  <si>
    <t>U-BOLT,SQ,3/8-16,4"ID,10.5"LG, SPEC 1506-678 (1503-184)</t>
  </si>
  <si>
    <t>TRAY, CABLE, PV WIRING, Z-SHAPED (1503-185)</t>
  </si>
  <si>
    <t>CLAMP, STANDING SEAM ROOF, S-5-E, 1/4-20 CNTRD (1503-190)</t>
  </si>
  <si>
    <t>BAR, RAIL, 2" WIDE (1503-192)</t>
  </si>
  <si>
    <t>SCREW, CAP, HH, 1/4-20 X 2-1/2, 18-8SS, WITH PATCH (1503-205)</t>
  </si>
  <si>
    <t>ASSY, DC FUSE BOX, 4 FUSE, BUS BLDG A, FRESNO (1503-219)</t>
  </si>
  <si>
    <t>CLAMP, PV MOUNT, POWERROOF, END PIECE, SHARP (1503-220)</t>
  </si>
  <si>
    <t>SIGN, AL, "TRACKER MOTOR AC DISC", 4"X10"(OBSOLETE) (1503-223)</t>
  </si>
  <si>
    <t>CLAMP, FLANGE, GALV. STEEL, 1" DP X 1.19" OPENING (1503-230)</t>
  </si>
  <si>
    <t>PVM, FR, SANY HIP-190BA5, DEEP FRAME, 190 WP, UL (1503-269)</t>
  </si>
  <si>
    <t>BRACKET, STARTER, SUNTILE (1503-298)</t>
  </si>
  <si>
    <t>CHANNEL, Z, PV ATTACHMENT, SANTA RITA UPGRADE (1503-304)</t>
  </si>
  <si>
    <t>TUBING, SQUARE, 4 X 4 X 11GA, 18 LONG (1503-317)</t>
  </si>
  <si>
    <t>INVERTER, SMA SUNNYBOY, 2.5 KW (1503-322)</t>
  </si>
  <si>
    <t>SCREW, S-D, S-T,HH, #12X1", SELF SEAL,CLIMASEAL (1503-323)</t>
  </si>
  <si>
    <t>TAPE, SEALANT, BUTYL, 1-5/8"X1/8"X30', BOX OF 10 (1503-324)</t>
  </si>
  <si>
    <t>END CAP, TUBE, POWERCANOPY (1503-326)</t>
  </si>
  <si>
    <t>CLAMP, BEAM, UNI STUT, 1/4" THICK (1503-339)</t>
  </si>
  <si>
    <t>LUG, GRNDG, XFRMR (1503-340)</t>
  </si>
  <si>
    <t>BUS BAR, POSITIVE, 56-STRING, 2.25" BAR STOCK (1503-343)</t>
  </si>
  <si>
    <t>BUS BAR, NEGATIVE, 56-STRING, 2.25" BAR STOCK (1503-344)</t>
  </si>
  <si>
    <t>LABEL, PALLET, UNIVERSAL (SEE BOM &amp; PALLET PROC) (1503-350)</t>
  </si>
  <si>
    <t>TUBING, SQUARE, 4 X 4 X 11GA, 36 LONG (1503-355)</t>
  </si>
  <si>
    <t>TUBING, SQUARE, 4 X 4 X 11GA, 31-0.5" LONG (1503-356)</t>
  </si>
  <si>
    <t>TUBING, SQUARE, 4 X 4 X 11GA, 29-6" LONG (1503-362)</t>
  </si>
  <si>
    <t>TUBING, SQUARE, 4 X 4 X 11GA, 25-6" LONG (1503-363)</t>
  </si>
  <si>
    <t>TUBING, SQUARE, 4 X 4 X 11GA, 25 LONG (1503-364)</t>
  </si>
  <si>
    <t>SCREW, CAP, HH, 1/4-20 x 5/8, 18-8 SS (1503-376)</t>
  </si>
  <si>
    <t>SCREW, HH, 3/8-16 x 5/8, SS (1503-381)</t>
  </si>
  <si>
    <t>STRIP, FOAM RUBBER, EPDM, 1/4"T X 1/2"W, BLACK (1503-398)</t>
  </si>
  <si>
    <t>TUBING, SQUARE, 4 X 4 X 11GA, 36' 8" LONG (1503-445)</t>
  </si>
  <si>
    <t>TUBING, ROUND, 4.5" OD X 7 GA, 3' LONG(OBSOLETE) (1503-446)</t>
  </si>
  <si>
    <t>CABINET,METER,NO SW,CLASS 320, 480V, 7JAW,MLBNK (1503-461)</t>
  </si>
  <si>
    <t>LUG, COPPER SET SCREW, #6-250MCM, FOR 3/8" STUD (1503-470)</t>
  </si>
  <si>
    <t>ASSY, WIRE, GROUNDING, #4 BRAID, 1/4" RINGS, 16" (1503-471)</t>
  </si>
  <si>
    <t>DRIVE UNIT,3-PH, SS, EURO, (OBSOLETE-SEE 1505-899) (1503-481)</t>
  </si>
  <si>
    <t>GEARMOTOR, 1/2 HP, RIGHT-ANGLE, SS SHAFT, 460V (1503-482)</t>
  </si>
  <si>
    <t>TRAY, WIRING, 10', TRACKER &amp; SHADE STRUCTURES (1503-493)</t>
  </si>
  <si>
    <t>CABINET, METER &amp; PRES SW, CLASS320, 7JAW, 480V, CS (1503-519)</t>
  </si>
  <si>
    <t>CABINET, METER &amp; PULL SW, CLASS320, 7JAW, 208V, CS (1503-521)</t>
  </si>
  <si>
    <t>CABINET, METER &amp; PULL SW, CLASS200, 7JAW, 208V, CS (1503-523)</t>
  </si>
  <si>
    <t>CABINET, METER &amp; PULL SW, CLASS200, 7JAW, 480V, CS (1503-525)</t>
  </si>
  <si>
    <t>NUT, CHANNEL, 1/4-20, LOW PROFILE, SS, 316 (1503-533)</t>
  </si>
  <si>
    <t>FILTER, OIL, BUSCH VACUUM PUMP (1503-535)</t>
  </si>
  <si>
    <t>AUGER, FEED, COATING MIXER, 3" DIA, 1" PITCH (1503-537)</t>
  </si>
  <si>
    <t>TUBE, MIXING, COATING MIXER, 8" DIA, 5' LENGTH (1503-538)</t>
  </si>
  <si>
    <t>SHAFT, PADDLE, COATING MIXER, 5' LENGTH (1503-539)</t>
  </si>
  <si>
    <t>BRUSH, CLEANING, 9" ROUND, COATING MIXER TUBE (1503-540)</t>
  </si>
  <si>
    <t>INVERTER/TRANSFORMER UNIT, 100KVA, SATCON (1503-566)</t>
  </si>
  <si>
    <t>METER, GLASS JAR, 2-WAY, CLASS 320, 6KYZ (1503-567)</t>
  </si>
  <si>
    <t>METER, GLASS JAR, 2-WAY, CLASS 200, 6KYZ (1503-568)</t>
  </si>
  <si>
    <t>FUSE, T-TRON VERY FAST-ACTING, JJS CLASS T, 150A (1503-569)</t>
  </si>
  <si>
    <t>FUSE, T-TRON VERY FAST-ACTING, JJS CLASS T, 110A (1503-570)</t>
  </si>
  <si>
    <t>CYLINDER, HYDRAULIC, DUST COMPACTOR (1503-583)</t>
  </si>
  <si>
    <t>WIRE, GND, PV SHINGLE, 22", COPPER BRAID W/ TERM (1503-584)</t>
  </si>
  <si>
    <t>ASSY, DAS, STD, NO METER, MODEM (1503-601)</t>
  </si>
  <si>
    <t>ASSY, DAS, STD, NO METER, NL-100 (1503-602)</t>
  </si>
  <si>
    <t>ASSY, DAS, STD, NO METER, SERIAL (1503-603)</t>
  </si>
  <si>
    <t>BOX, TRANSITION EXIT, CONDUCTOR, GEN II CURB, 1" (1503-611)</t>
  </si>
  <si>
    <t>BOX, TRANSITION EXIT, CONDUCTOR, GEN II CURB, 1.5" (1503-612)</t>
  </si>
  <si>
    <t>BOX, TRANSITION EXIT, CONDUCTOR, GEN II CURB, 2" (1503-613)</t>
  </si>
  <si>
    <t>HANDLE, WALL MOUNT COMBINER BOX, KEY LOCK (1503-635)</t>
  </si>
  <si>
    <t>ADHESIVE, JET WELD TS-230 (1503-649)</t>
  </si>
  <si>
    <t>SCREW, S-D, S-T,HH, #10 X .75,SELF SEAL, CLIMASEAL (1503-717)</t>
  </si>
  <si>
    <t>FLASHING, UNDERLAP, S, SUNTILE (1505-547)</t>
  </si>
  <si>
    <t>SCREW, HH 9-15X1.5" HWH TRUE GRIP GT W/BD, BLDEX (1505-553)</t>
  </si>
  <si>
    <t>BRACKET, FRONT, EXTRUDED, SUNTILE (1505-561)</t>
  </si>
  <si>
    <t>PVM, UNFR, SHAR ND-U8E1D, 208 WP, UL, W/MC (1505-565)</t>
  </si>
  <si>
    <t>INVERTER, XANTREX, 3.0KVA, 240VAC, NEGATIVE GROUND (1505-567)</t>
  </si>
  <si>
    <t>BOLT, HH, 1/2-13 X 5, 18-8 SS (1505-581)</t>
  </si>
  <si>
    <t>FITTING, 90 DEG, UNISTRUT, P1068 (1505-582)</t>
  </si>
  <si>
    <t>PVM, FR, SANY HIP-195BA5, DEEP FRAME, 195 WP, UL (1505-588)</t>
  </si>
  <si>
    <t>WELDMENT, BRG PEDESTAL, FT APACHE, HEAVY (1505-589)</t>
  </si>
  <si>
    <t>WELDMENT, BRG PEDESTAL, FT APACHE, LIGHT (1505-590)</t>
  </si>
  <si>
    <t>WELDMENT, DRIVE PEDESTAL, FT APACHE (1505-591)</t>
  </si>
  <si>
    <t>INVERTER, XANTREX, 2.5KVA, 240VAC, NEGATIVE GROUND (1505-596)</t>
  </si>
  <si>
    <t>CLIP, RAIL, GRDG, 2.77 WIDE (USED IN 1505-598) (1505-597)</t>
  </si>
  <si>
    <t>ASSY, CLIP, RAIL, GROUNDING, 2.77 WIDE (1505-598)</t>
  </si>
  <si>
    <t>CLIP, SANYO, 4-8", 4 TEETH, UL (1505-602)</t>
  </si>
  <si>
    <t>PVM, UNFR, SANY HIP-CA2, 180 WP, UL, W/MC, BLEMISH (1505-603)</t>
  </si>
  <si>
    <t>ASSY, TILE, SANY HIP-195CA5, UNFR, 195 WP, UL (1505-614)</t>
  </si>
  <si>
    <t>PVM, UNFR, SANY HIP-195CA2, 195 WP, UL, W/MC (1505-615)</t>
  </si>
  <si>
    <t>LEAD, 18" x 20', 2 LBS (1505-617)</t>
  </si>
  <si>
    <t>BOX, EXTENSION, 1 G, WEATHER TIGHT, 1/2 KO (1505-620)</t>
  </si>
  <si>
    <t>FLASHING, OVERLAP, COMP, FEMALE, SUNTILE (1505-624)</t>
  </si>
  <si>
    <t>ASSY, FLASHING, OVERLAP, COMP, SUNTILE (1505-625)</t>
  </si>
  <si>
    <t>COVER, BLANK, 1G, WEATHER TIGHT (1505-629)</t>
  </si>
  <si>
    <t>ASSY, TILE, SHAR ND-U8E1D, 208WP (1505-647)</t>
  </si>
  <si>
    <t>BBD, FOAM, SANY HIP-190CA2, 190WP, RW (1505-652)</t>
  </si>
  <si>
    <t>ASSY, BBD, SANY HIP-190CA2, 190WP, RW (1505-653)</t>
  </si>
  <si>
    <t>ASSY, TILE, SANY HIP-190CA2, 190WP, RW (1505-655)</t>
  </si>
  <si>
    <t>ASSY, TILE, SANY HIP-195CA5, 195WP, RW (1505-656)</t>
  </si>
  <si>
    <t>BBD, FOAM, SHAR ND-U0E1D, 200WP, RW (1505-657)</t>
  </si>
  <si>
    <t>ASSY, BBD, SHAR ND-U0E1D, 200WP, RW (1505-658)</t>
  </si>
  <si>
    <t>ASSY, TILE, SHAR ND-U0E1D, 200WP, RW (1505-659)</t>
  </si>
  <si>
    <t>ASSY, TILE, SHAR ND-U5E1D, 205WP, RW (1505-660)</t>
  </si>
  <si>
    <t>ASSY, TILE, SHAR ND-U8E1D, 208WP, RW (1505-661)</t>
  </si>
  <si>
    <t>SHROUD, MOTOR, POWERTRACKER (1505-677)</t>
  </si>
  <si>
    <t>BRACKET, LIMIT, SWITCH, RETRACTION, POWERTRACKER (1505-678)</t>
  </si>
  <si>
    <t>DATALOGGER, CAMPBELL CR1000 (1505-689)</t>
  </si>
  <si>
    <t>PVM, FR, SHAR NU-S5E3E, 185 WP, IEC, W/MC (1505-696)</t>
  </si>
  <si>
    <t>INVERTER, PV225S-P-480V, W/SWITCHES AND XFRMR DISC (1505-699)</t>
  </si>
  <si>
    <t>SCREW,SM,S-T,HWH,#12 X 1/2,18-8SS,SERR HEAD (1505-717)</t>
  </si>
  <si>
    <t>BEARING, INSERT, TRACKER, MT-036, REWORK (1505-719)</t>
  </si>
  <si>
    <t>ASSY, BRACKET, STARTER, SUNTILE (1505-721)</t>
  </si>
  <si>
    <t>ASSY, BRACKET, SUNTILE, SUNPOWER, 63WP (1505-728)</t>
  </si>
  <si>
    <t>ASSY, PVM, UNFR, SUNP, SUNTILE, 63WP (1505-729)</t>
  </si>
  <si>
    <t>ASSY, SUNTILE, SUNPOWER, 63WP (1505-730)</t>
  </si>
  <si>
    <t>CLIP, WIRE, ITW FASTEX 8511-30-00 (1505-732)</t>
  </si>
  <si>
    <t>PAD, MAIN, RESIDENTIAL POWERROOF (1505-735)</t>
  </si>
  <si>
    <t>SCREW, PH, PHIL, 10-24 X 1-3/4, 18-8 SS (1505-749)</t>
  </si>
  <si>
    <t>BOLT, HH, 1/4-20 X 7/8, 316 SS (1505-750)</t>
  </si>
  <si>
    <t>NUT, HEX, 10-24, 18-8 SS (1505-751)</t>
  </si>
  <si>
    <t>SPACER, SCREW SIZE #10, 5/16" OD X 3/4, 18-8 SS (1505-752)</t>
  </si>
  <si>
    <t>LIMIT, SWITCH, SPST, LOW TEMP, W/ CABLE (1505-753)</t>
  </si>
  <si>
    <t>PLATE, JIG, ALIGNMENT, HOLE, SHROUD, POWERTRACKER (1505-754)</t>
  </si>
  <si>
    <t>ASSY, KIT, SHROUD, SWITCH, BRACKET, POWERTRACKER (1505-755)</t>
  </si>
  <si>
    <t>KIT, SHROUD, LIMIT SWITCH, BRACKET SWITCH, H.WARE (1505-758)</t>
  </si>
  <si>
    <t>TIE, CABLE, SS, 6"L, 1/4" WIDE (1505-759)</t>
  </si>
  <si>
    <t>PACKAGING, CORNER, 4-PACK, SUNTILE (1505-762)</t>
  </si>
  <si>
    <t>PACKAGING, BOX, 4-PACK, SUNTILE (1505-764)</t>
  </si>
  <si>
    <t>BOLT,CARRIAGE,3/8-16X5,1"THRD, SPEC 1506-589 (1505-769)</t>
  </si>
  <si>
    <t>ASSY, MONITOR, HSN, INTERFACE, NETWORK (1505-777)</t>
  </si>
  <si>
    <t>PVM, FR, RWE ASE-270, 270 WP, UL, W/MC (1505-779)</t>
  </si>
  <si>
    <t>END CAP, RFT10 WIRE GUTTER, 2.5 X 2.5 (1505-784)</t>
  </si>
  <si>
    <t>PVM, FR, EVER ES-180-RL, 180 WP, UL/IEC, W/ MC (1505-796)</t>
  </si>
  <si>
    <t>PVM, FR, EVER ES-190-RL, 190 WP, UL/IEC, W/ MC3 (1505-797)</t>
  </si>
  <si>
    <t>GROMMET, .75 ID, .88 GROOVE DIA., SILICONE RUBBER (1505-807)</t>
  </si>
  <si>
    <t>SCREW, S-D, S-T,HH, #12-24 X 2.0, CLIMASEAL (1505-808)</t>
  </si>
  <si>
    <t>TIE, CABLE, MNTG HOLE, 4" BNDL,15" L,1/4" HOLE,BLK (1505-828)</t>
  </si>
  <si>
    <t>BRACKET, PV SUPPORT, T15, SANYO, BENT PLATE, TALL (1505-874)</t>
  </si>
  <si>
    <t>WELDMENT, BRG PEDESTAL, SCHED 120, 38" LG (1505-876)</t>
  </si>
  <si>
    <t>WELDMENT, BRG PEDESTAL, SCHED 40, 38" LG (1505-877)</t>
  </si>
  <si>
    <t>TUBING, SQUARE, 4 X 4 X 1/4, 31' LONG (1505-882)</t>
  </si>
  <si>
    <t>BRACKET, PV SUPPORT, T15, SANYO, BENT PLATE, SHORT (1505-883)</t>
  </si>
  <si>
    <t>SIGN, AL,"AUTHRZED PERSONNEL ONLY"OBSOLETE- SEE1507-540) (1505-896)</t>
  </si>
  <si>
    <t>TUBING, SQUARE, 4 X 4 X 1/4, 34'-8" LONG (1505-898)</t>
  </si>
  <si>
    <t>DRIVE UNIT, INTEGRATED, PLC, 3 PH, 380-480V (1505-899)</t>
  </si>
  <si>
    <t>CLIP, MOUNTING, SANYO, 1" (1505-900)</t>
  </si>
  <si>
    <t>INSERT, TORQUE TUBE, 1/4" WALL TUBE, TRACKER (1505-901)</t>
  </si>
  <si>
    <t>COVER, WIRE, RFT10, SUNP210, 90 DEG, (1505-904)</t>
  </si>
  <si>
    <t>TRAY, WIRE, RFT10, SUNP210 (1505-905)</t>
  </si>
  <si>
    <t>SIGN, AL,"REFER TO MAP PG&amp;E DISC SW LOCK"(OBSOLETE-SEE 1507-089) (1505-912)</t>
  </si>
  <si>
    <t>CHANNEL, STRUT, 1-5/8X2-7/16,12GA,HG,LONG SLOT,20' (1505-916)</t>
  </si>
  <si>
    <t>HANGER, CONDUIT, 1 3/4" OD, 3/8" HOLE, W/ BOLT, SS (1505-917)</t>
  </si>
  <si>
    <t>WASHER, LOCK, EXT. TOOTH, 3/8, 0.7 OD, 316SS (1505-919)</t>
  </si>
  <si>
    <t>WELDMENT, DRIVE MOUNT, RECTANGULAR BASE (1505-921)</t>
  </si>
  <si>
    <t>CONTROLLER, PLC, POWERTRACKER, 3 PH, 208V (1505-927)</t>
  </si>
  <si>
    <t>ACTUATOR, LINEAR, 15 TON, HARD STOP, NO  LIMIT SW (1505-928)</t>
  </si>
  <si>
    <t>CHANNEL, STRUT, 1-5/8X2-7/16,12GA,HG,LONG SLOT,16" (1505-929)</t>
  </si>
  <si>
    <t>CHANNEL, STRUT, 1-5/8X1-5/8,12GA,HG,LONG SLOT,24" (1505-930)</t>
  </si>
  <si>
    <t>PLATE, COVER,CONTROLLER,16" WIDE BOX (1505-931)</t>
  </si>
  <si>
    <t>METER, GLASS JAR, 2-WAY, FORM 9S, 13 TERM, 6KYZ (1505-936)</t>
  </si>
  <si>
    <t>WIRE ROPE, INTERCONNECT, RFT10, SHARP 200 (1505-942)</t>
  </si>
  <si>
    <t>WIRE ROPE, INTERCONNECT, NORTH , RFT10, SHARP 200 (1505-955)</t>
  </si>
  <si>
    <t>CLIP, EXTENDED, SANYO, 12", 4 TEETH, WIRE TIE HOLE (1505-960)</t>
  </si>
  <si>
    <t>CABINET, MTR &amp; PULL SW, 800A, 13JAW, 480V, L FUSE (1505-963)</t>
  </si>
  <si>
    <t>COVER, WIRE, RFT10, SANYO 190 (OBSOLETE) (1505-965)</t>
  </si>
  <si>
    <t>TRAY, WIRE, RFT10, SANYO 190 (OBSOLETE) (1505-966)</t>
  </si>
  <si>
    <t>WELDMENT, BRG PEDESTAL, SCHED 40, 34" LG (1505-967)</t>
  </si>
  <si>
    <t>PVM, FR, SANY HIP-180BA5, 180 WP, UL, W/MC, BLEM (1505-969)</t>
  </si>
  <si>
    <t>CLIP, PV MOUNTING, IFF, BLK (1505-970)</t>
  </si>
  <si>
    <t>CLIP, PV MOUNTING, IFF, NAT (1505-971)</t>
  </si>
  <si>
    <t>CLIP, PV MOUNTING, IFF, PERIMETER, NAT (1505-973)</t>
  </si>
  <si>
    <t>STANDOFF, IFF, PERIMETER, 1.24, SUNP, BLK (1505-974)</t>
  </si>
  <si>
    <t>SCREW, S-D, HWH, #12-24 X 1 1/2, #5 PT, 18-8SS, HP (1505-981)</t>
  </si>
  <si>
    <t>ASSY, CLIP, RAIL, GROUNDING, 2.37 WIDE (1505-994)</t>
  </si>
  <si>
    <t>ASSY, CLIP, RAIL,  (OBSOLETE-SEE 1505-994) (1505-995)</t>
  </si>
  <si>
    <t>WELDMENT, BRG PEDESTAL, PACIFICA, SHORT (1506-010)</t>
  </si>
  <si>
    <t>NUT, CHANNEL, W/ SPRING, 1/4-20, SS (1506-013)</t>
  </si>
  <si>
    <t>BOLT, HH, 1/4-20 X 0.75, ASTM F593C, W/ PATCH (1506-015)</t>
  </si>
  <si>
    <t>BOLT, HH, 1/4-20 X 1.50", ASTM F593C, W/ PATCH (1506-016)</t>
  </si>
  <si>
    <t>ASSY, SMART MOUNT (1506-023)</t>
  </si>
  <si>
    <t>PVM, FR, SANY HIP-186DA1, BIFACIAL, 186 WP, UL (1504-752)</t>
  </si>
  <si>
    <t>SIGN, AL, "REFER TO MAP FOR PG&amp;E SW"(OBSOLETE-SEE 1507-088) (1504-771)</t>
  </si>
  <si>
    <t>CHANNEL, WIRE, POWERTRACKER (1504-772)</t>
  </si>
  <si>
    <t>BRACKET, MOUNTING, WIRE CHANNEL, POWERTRACKER (1504-773)</t>
  </si>
  <si>
    <t>ASSY, TILE, SUNP SPR-210-WHT, 210 W, UL (1504-818)</t>
  </si>
  <si>
    <t>ASSY, BBD, SUNP SPR-210 (1504-819)</t>
  </si>
  <si>
    <t>BBD, FOAM, SUNP SPR-210 (1504-820)</t>
  </si>
  <si>
    <t>SIGN, AL,"GEN. ON PREMISES", 2.5"X8"(OBSOLETE-SEE 1507-090) (1504-893)</t>
  </si>
  <si>
    <t>POWER SUPPLY, AC TO 24VDC, 10W (1504-894)</t>
  </si>
  <si>
    <t>TRANSFORMER, 225KVA, 2400V DELTA/480V WYE-SEE SPEC (1504-900)</t>
  </si>
  <si>
    <t>EYEBOLT, FORGED, 3/8 X 4" LONG,GALVY,1200LB WK LD (1504-901)</t>
  </si>
  <si>
    <t>BOLT, HH, 5/8-11X6.75, GR5, GALV (1504-902)</t>
  </si>
  <si>
    <t>NUT, HVYHX, 5/8-11, GR5, GALV (1504-903)</t>
  </si>
  <si>
    <t>WASHER, FLAT, 5/8, GR5, GALV (1504-907)</t>
  </si>
  <si>
    <t>WASHER, LOCK, SPLIT, 5/8, GR5, GALV (1504-908)</t>
  </si>
  <si>
    <t>CLIP, EXTENDED, SANYO, 6.75", 4 TEETH (1504-909)</t>
  </si>
  <si>
    <t>WELDMENT, TILTED TRACKER, SANYO, TALL (1504-910)</t>
  </si>
  <si>
    <t>WELDMENT, TILTED TRACKER, SANYO, SHORT (1504-911)</t>
  </si>
  <si>
    <t>LIMIT SWITCH, LINEAR ACTUATOR, ELS8-404 (1504-932)</t>
  </si>
  <si>
    <t>ASSY, PLATE, ROUND, ALUMINUM, PLUS STUD, FOAMLESS (1504-937)</t>
  </si>
  <si>
    <t>SHIELD, FIRE, SUNTILE, .5" GAP (1504-950)</t>
  </si>
  <si>
    <t>SHIELD, FIRE, SUNTILE, .125" GAP (1504-952)</t>
  </si>
  <si>
    <t>SPACER, MAIN, SUNTILE, .5" GAP (1504-953)</t>
  </si>
  <si>
    <t>SPACER, MAIN, SUNTILE, .125" GAP (1504-955)</t>
  </si>
  <si>
    <t>BRACKET, REAR, SUNTILE (1504-956)</t>
  </si>
  <si>
    <t>PROFILE, UNDERLAP, SUNTILE (1504-957)</t>
  </si>
  <si>
    <t>PROFILE, OVERLAP, SUNTILE (1504-958)</t>
  </si>
  <si>
    <t>BRACKET, FRONT, SUNTILE (1504-960)</t>
  </si>
  <si>
    <t>BRACKET, SLIDE, SUNTILE (1504-961)</t>
  </si>
  <si>
    <t>BAR, BEARING RETAINER (1504-979)</t>
  </si>
  <si>
    <t>ASSY, TILE, SHAR ND-N6E1D, 146 WP, PET,PUR (1504-997)</t>
  </si>
  <si>
    <t>ASSY, SPACER, MAIN, FOAMLESS, SHARP 200W (OBSOLETE) (1505-003)</t>
  </si>
  <si>
    <t>CLIP, PV RETAINING, NORTH, RFT10, SHARP 200 (OBSOLETE) (1505-004)</t>
  </si>
  <si>
    <t>ASSY, SPACER, NORTH SIDE, FOAMLESS, SHARP 200W (OBSOLETE) (1505-005)</t>
  </si>
  <si>
    <t>ASSY, SPACER, SOUTH SIDE, FOAMLESS, SHARP 200W (OBSOLETE) (1505-006)</t>
  </si>
  <si>
    <t>BREAKER, CIRCUIT, 1P, 15A, 240V (1505-014)</t>
  </si>
  <si>
    <t>BREAKER, CIRCUIT, 3P, 15A, 240V (1505-015)</t>
  </si>
  <si>
    <t>GUARD, RAIN, ALUMINUM, SUNTILE (1505-018)</t>
  </si>
  <si>
    <t>SCREW, CAP, BH, SOCKET, 1/4-20 X 3/4, 18-8SS (1505-019)</t>
  </si>
  <si>
    <t>TAPE, FOAM, 1 SIDE, 1/2" X 1/32" (1505-025)</t>
  </si>
  <si>
    <t>SCREW,SM,ST, PH,TX, #10 X3/8,18-8SS,THNLOK (1505-027)</t>
  </si>
  <si>
    <t>RECEPTACLE, HOUSING, 2 PIN, 18 AWG (1505-035)</t>
  </si>
  <si>
    <t>PLUG, HOUSING, 2 PIN, 18A WG (1505-036)</t>
  </si>
  <si>
    <t>CONNECTOR, SOCKET, 14-20 AWG, GOLD CRIMP (1505-037)</t>
  </si>
  <si>
    <t>CONNECTOR, PIN, 14-20 AWG, GOLD CRIMP (1505-038)</t>
  </si>
  <si>
    <t>FUSEHOLDER, 1A FUSE, FAST BLOW (1505-039)</t>
  </si>
  <si>
    <t>INVERTER, SIEMENS, SINVERT, 1MW, 480VAC (1505-042)</t>
  </si>
  <si>
    <t>WASHER, FLAT, 3/8, F436, GALV B695 GR50 (1505-051)</t>
  </si>
  <si>
    <t>COVER, RT CURB, PAVER-STYLE, FEDEX, BARE (1505-054)</t>
  </si>
  <si>
    <t>CORNER, BOX, RT CURB, 2-1/2" SPACER, BARE (1505-057)</t>
  </si>
  <si>
    <t>ASSY, SUNTILE, SUNP, 63WP, .5" VENT (1505-059)</t>
  </si>
  <si>
    <t>GEARMOTOR, 1/2 HP, RIGHT-ANGLE, 200/400V, 50HZ, CE (1505-061)</t>
  </si>
  <si>
    <t>WASHER, FLAT, 1/4, .75OD, 18-8SS (1505-067)</t>
  </si>
  <si>
    <t>BUSHING, 1/4ID, 3/8OD, .188T, 303SS (1505-069)</t>
  </si>
  <si>
    <t>NUT, HEX, 1/4-20, 18-8SS, NYLON INSERT (1505-070)</t>
  </si>
  <si>
    <t>ANCHOR, STRAP, RT CURB, GEN II, LONG (1505-071)</t>
  </si>
  <si>
    <t>TUBING, SQUARE, 4 X 4 X 11GA, 21 -3" LONG (1505-076)</t>
  </si>
  <si>
    <t>TUBE STEEL, 8 X 6 X .25, ASTM A500 GR. B,35'-11.5" (1505-081)</t>
  </si>
  <si>
    <t>TUBE STEEL, 8 X 6 X .25, ASTM A500 GR. B,42'-2.5" (1505-082)</t>
  </si>
  <si>
    <t>FUSE, T-TRON VERY FAST-ACTING, JJS CLASS T, 80A (1505-083)</t>
  </si>
  <si>
    <t>SPACER, MAIN, WIREWAY, SHARP 200, T-10 (1505-103)</t>
  </si>
  <si>
    <t>SCREW,SM,ST,PH,TX,#10 X3/8,18-8 SS, THNLOK, BLK OX (1505-125)</t>
  </si>
  <si>
    <t>WELDMENT, BRG PEDESTAL, SCHED 40, 33" LG (1505-127)</t>
  </si>
  <si>
    <t>ASSY, CABLE, JUMPER, MC, 36", UL (1505-132)</t>
  </si>
  <si>
    <t>WIRE, STRND, USE-2, RHH, OR RHW-2, 10AWG (1505-138)</t>
  </si>
  <si>
    <t>ASSY, WIRE, GROUNDING, #10, RING-FORK (1505-142)</t>
  </si>
  <si>
    <t>ASSY, SPACER, MAIN, WIREWAY, SHARP 200, T-10 (1505-147)</t>
  </si>
  <si>
    <t>COUPLING, PIPE, 1-1/2" PL TO 1-1/4" PL, SS (1505-155)</t>
  </si>
  <si>
    <t>CLAMP, HOSE, WORM DRIVE, 5/16" WIDE, 1 3/16" ID, SS (1505-156)</t>
  </si>
  <si>
    <t>CLIP, EXTENDED, SANYO, 6", 4 TEETH (1505-159)</t>
  </si>
  <si>
    <t>WASHER, LOCK, EXT. TOOTH, M10, 18-8 SS (1505-167)</t>
  </si>
  <si>
    <t>ASSY, CABLE, JUMPER, MC, 27", UL (1505-172)</t>
  </si>
  <si>
    <t>BOLT, HH, 1/2-13 X 1.0, 18-8 SS (1505-173)</t>
  </si>
  <si>
    <t>TAPE, FOAM, 1 SIDE, 1/2" X 1/16" (1505-175)</t>
  </si>
  <si>
    <t>ADHESIVE, RTV, DOW 832, BLACK, CARTRIDGE (1505-176)</t>
  </si>
  <si>
    <t>ENCLSR, NEMA 4, 10 X 8 X 6 (1505-194)</t>
  </si>
  <si>
    <t>ASSY, COMB. BOX, 36 STRING, 24 X 24 (1505-208)</t>
  </si>
  <si>
    <t>STAND, ENCLSR, 6.00 X 8.06 X 7.06, STEEL (1505-213)</t>
  </si>
  <si>
    <t>WELDMENT, BRG PIER, ELEVATED TRKR, 33", HEAVY (1505-216)</t>
  </si>
  <si>
    <t>ASSY, PVM, UNFR, SHAR ND-N6E1D, 146, FLD RPLCMNT (1505-222)</t>
  </si>
  <si>
    <t>ASSY, PVM, UNFR, SHAR ND-U0E1D, 200, FLD RPLCMNT (1505-223)</t>
  </si>
  <si>
    <t>INVERTER, XANTREX, 2.5KVA, 240VAC, POSITIVE GROUND (1505-249)</t>
  </si>
  <si>
    <t>DISCONNECT, DC, LOAD-BREAK, 30A (1505-253)</t>
  </si>
  <si>
    <t>DISCONNECT, AC, LOAD-BREAK, 30A, NEMA 3R (1505-255)</t>
  </si>
  <si>
    <t>ASSY, CABLE, JUMPER, MC, 10 AWG, 20', UL (1505-256)</t>
  </si>
  <si>
    <t>CORD GRIP, 1/2", 3 HOLE, LIQUID TIGHT (1505-258)</t>
  </si>
  <si>
    <t>COUPLING, RIGID, GALV, 1/2", FEMALE-FEMALE (1505-260)</t>
  </si>
  <si>
    <t>FITTING, CONDUIT, CHASE NIPPLE, 1/2" (1505-261)</t>
  </si>
  <si>
    <t>GROMMET, 1.25OD, .828ID, EPDM (1505-263)</t>
  </si>
  <si>
    <t>MEMBRANE, AL, SELF ADHESIVE, BLACK, 11" (1505-275)</t>
  </si>
  <si>
    <t>NAIL, CAP, 7/8, GALV, PLASTIC HEAD, SIMPLEX (1505-276)</t>
  </si>
  <si>
    <t>ADHESIVE, SEALANT, URATHENE, ALUMINUM, GRAY (1505-278)</t>
  </si>
  <si>
    <t>CABLE, METAL-CLAD, 10-2, STRANDED (1505-279)</t>
  </si>
  <si>
    <t>FITTING, MC CABLE, 1/2", BOX CON (1505-280)</t>
  </si>
  <si>
    <t>WIRE, ROMEX, 12-3, 250 FT (1505-281)</t>
  </si>
  <si>
    <t>WIRE, THHN, GREEN, # 10 (1505-283)</t>
  </si>
  <si>
    <t>WIRE, THHN, GREEN, # 8 (1505-284)</t>
  </si>
  <si>
    <t>STAPLE, ROMEX, 9/16" (1505-285)</t>
  </si>
  <si>
    <t>BOX, EXTENSION, 4 SQ, 2 GANG, 5/8" (1505-288)</t>
  </si>
  <si>
    <t>BOX, EXTENSION, 4 SQ, 1 GANG, 3/4" (1505-289)</t>
  </si>
  <si>
    <t>BRACKET, BOX, DEEP, 4 SQ, 1/2" KO (1505-291)</t>
  </si>
  <si>
    <t>COVER, BLANK, 4 SQ (1505-292)</t>
  </si>
  <si>
    <t>ADHESIVE, SEALANT, SILICONE, CLEAR (1505-293)</t>
  </si>
  <si>
    <t>CONNECTOR, WIRE-NUT, RED (1505-294)</t>
  </si>
  <si>
    <t>PLATE, SAFETY (1505-295)</t>
  </si>
  <si>
    <t>TIE, CABLE, NYLON, 14", BLACK (1505-296)</t>
  </si>
  <si>
    <t>SCREW, GRND, 10-32 X 3/8" (1505-297)</t>
  </si>
  <si>
    <t>ANCHOR, CONCRETE,100/KIT (1505-298)</t>
  </si>
  <si>
    <t>BOLT, LAG, HH, 1/4 X 2-1/2, GALV (1505-300)</t>
  </si>
  <si>
    <t>PVM, UNFR, SHAR ND-U5E1D, 205 WP, UL, W/MC (1505-316)</t>
  </si>
  <si>
    <t>CLIP, LOWER BARRIER, ALUMINUM, 5" x 1" (1505-329)</t>
  </si>
  <si>
    <t>CLIP,UPPER BARRIER, ALUMINUM 2" X 1.38" (1505-330)</t>
  </si>
  <si>
    <t>ASSY, COMB. BOX, 35-STRING, 20 X 30 (1505-333)</t>
  </si>
  <si>
    <t>PVM, FR, SHAR ND-6AE1DA, 205 WP, UL, W/MC (1505-365)</t>
  </si>
  <si>
    <t>ASSY, BLANK BOARD, ND-N6E1D (1505-380)</t>
  </si>
  <si>
    <t>BBD, FOAM, SHAR ND-N6E1D, 146 WP, RC (1505-381)</t>
  </si>
  <si>
    <t>ASSY, BLANKBOARD, SHAR ND-N6E1D, 146 WP, RC (1505-382)</t>
  </si>
  <si>
    <t>ASSY, BBD, SHAR ND-N6E1D, 146 WP, RC (1505-383)</t>
  </si>
  <si>
    <t>ASSY, TILE, SHAR ND-N6E1D, 146 WP, RC (1505-384)</t>
  </si>
  <si>
    <t>FLASHING, ROOF, PENETRATION, SUNTILE (1505-399)</t>
  </si>
  <si>
    <t>BUS BAR, POS-NEG, 56 STRING, 2" X 3/8" (1505-403)</t>
  </si>
  <si>
    <t>SCREW, PH, PHIL, 8-32 X 7/8, SS, MS (1505-405)</t>
  </si>
  <si>
    <t>BUS BAR, 90 ADAPTER, POS-NEG, 56 STRING, 3" X 1/4" (1505-408)</t>
  </si>
  <si>
    <t>BUS BAR, GROUND, 56 STRING, 2" WIDE,  .5" THICK (1505-411)</t>
  </si>
  <si>
    <t>ASSY, BLANK BOARD, SHAR ND-U0E1D, 200 WP (1505-414)</t>
  </si>
  <si>
    <t>LABEL, STRINGS, 1 THRU 28, 56 STRING COMBINER BOX (1505-415)</t>
  </si>
  <si>
    <t>LABEL, STRINGS, 29 THRU 56, 56 STRING COMBINER BOX (1505-416)</t>
  </si>
  <si>
    <t>BUS BAR, POS-NEG, 36 STRING, 2" X 3/8" (1505-424)</t>
  </si>
  <si>
    <t>BUS BAR, GROUND, 2" X 3/8" 35 STRING COMBINER BOX (1505-425)</t>
  </si>
  <si>
    <t>SCREW, CAP, HH, 3/8-16 X 1.5, SS (1505-429)</t>
  </si>
  <si>
    <t>SHIELD, LUGS, COMBINER BOX,  56-STRING (1505-430)</t>
  </si>
  <si>
    <t>LABEL, STRING, 1 THRU 18, 36 STRING COMBINER BOX (1505-433)</t>
  </si>
  <si>
    <t>LABEL, STRING, 19 THRU 36, 36 STRING COMBINER BOX (1505-434)</t>
  </si>
  <si>
    <t>SHIELD, OUTPUT LUG LEXAN, .125", 36 STRING C-BOX (1505-435)</t>
  </si>
  <si>
    <t>SHIELD, BUS BAR, POS,  56 STRING COMBINER BOX (1505-436)</t>
  </si>
  <si>
    <t>SHIELD, BUS BAR, NEG, 56 STRING COMBINER BOX (1505-437)</t>
  </si>
  <si>
    <t>SHIELD, BUS BAR, POS, 36-STRING (1505-438)</t>
  </si>
  <si>
    <t>SHIELD, BUS BAR, NEG, 36-STRING (1505-439)</t>
  </si>
  <si>
    <t>ASSY, PVM, UNFR, SHAR ND-U5E1D, 205, FLD RPLCMNT (1505-440)</t>
  </si>
  <si>
    <t>STAND, ENCLSR, 3.0  X 10.0 X 6.0, STEEL (1505-441)</t>
  </si>
  <si>
    <t>TUBING, ROUND, 4.5" OD X 1/4", A513, 15' LONG (1505-448)</t>
  </si>
  <si>
    <t>TUBING, ROUND, 4.5" OD X 3/8 THK, A513, 16' LONG (1505-449)</t>
  </si>
  <si>
    <t>DEFLECTOR, NORTH, RFT-10, SANYO 190, 52 DEG (OBSOLETE) (1505-450)</t>
  </si>
  <si>
    <t>SLEEVE, DRIVE PIER, NAPA VALLEY COLLEGE (1505-451)</t>
  </si>
  <si>
    <t>ASSY, COMB. BOX, 36 STRING, 24 X 24, WITH STAND (1505-452)</t>
  </si>
  <si>
    <t>ASSY, SUPPORT, MAIN, RFT-10, SANYO 190 (OBSOLETE) (1505-457)</t>
  </si>
  <si>
    <t>ASSY, SUPPORT, NORTH, RFT-10, SANYO 190 (OBSOLETE) (1505-458)</t>
  </si>
  <si>
    <t>ASSY, SUPPORT, SOUTH, RFT-10, SANYO 190 (OBSOLETE) (1505-459)</t>
  </si>
  <si>
    <t>CLIP, PV RETAINING, NORTH,  RFT-10, SANYO 190 (OBSOLETE) (1505-460)</t>
  </si>
  <si>
    <t>CLIP, RETAINING, PV, SOUTH, RFT-10, SANYO 190 (OBSOLETE) (1505-461)</t>
  </si>
  <si>
    <t>DEFLECTOR, EAST, RFT-10, SANYO 190 (OBSOLETE) (1505-462)</t>
  </si>
  <si>
    <t>DEFLECTOR, WEST, RFT-10, SANYO 190 (OBSOLETE) (1505-463)</t>
  </si>
  <si>
    <t>PIER, DRIVE, NAPA VALLEY COLLEGE (1505-464)</t>
  </si>
  <si>
    <t>ASSY, SUNTILE, SUNP, 63WP, MILD CORR (1505-465)</t>
  </si>
  <si>
    <t>BRACKET, REAR, SUNTILE, G90 (1505-466)</t>
  </si>
  <si>
    <t>BRACKET, SLIDE, SUNTILE G90 (1505-467)</t>
  </si>
  <si>
    <t>BRACKET, STARTER, SUNTILE, G90 (1505-468)</t>
  </si>
  <si>
    <t>BUS BAR, POSITIVE, 35 STRING, 2" x 3/8" BAR STOCK (1505-472)</t>
  </si>
  <si>
    <t>BUS BAR, NEGATIVE, 35-STRING, 2" X 3/8" BAR STOCK (1505-473)</t>
  </si>
  <si>
    <t>BUS BAR, GROUND, 35-STRING, 2" X 3/8" BAR STOCK (1505-474)</t>
  </si>
  <si>
    <t>SHIELD, SAFETY, 35 STRING, 20 x 30 C-BOX (1505-475)</t>
  </si>
  <si>
    <t>SCREW,SM,ST,PH,SQ,#10 X 3/4,18-8SS,SER HD, BLK OX (1505-485)</t>
  </si>
  <si>
    <t>LABEL,"DANGER, HIGH VLTGE, DC", 3" X 2", SUNTILE (1505-488)</t>
  </si>
  <si>
    <t>LABEL, "WARNING, PV DISCONNECT", 3" X 3", SUNTILE (1505-489)</t>
  </si>
  <si>
    <t>LABEL, "GFDI FUSE", 1.5" X 1", SUNTILE (1505-490)</t>
  </si>
  <si>
    <t>LABEL,"DANGER,PV SYS BRKR", 3" X 1.5", SUNT-OBSOLE (1505-491)</t>
  </si>
  <si>
    <t>SIGN, AL,"CAUTION, PWR SRCS",5" X 8" SUNT-OBSOLETE (1505-493)</t>
  </si>
  <si>
    <t>STRAP, ONE-HOLE, MC CABLE (1505-494)</t>
  </si>
  <si>
    <t>CABLE, METAL-CLAD, 12-3, SOLID (1505-496)</t>
  </si>
  <si>
    <t>WIRE, COPPER, STRANDED, TIN # 10 (1505-497)</t>
  </si>
  <si>
    <t>BUSHING, 1/2", SNAP-IN (1505-498)</t>
  </si>
  <si>
    <t>CABLE, CAT5, 4 PAIR, 24 AWG,  NON-PLENUM (1505-499)</t>
  </si>
  <si>
    <t>PAD, RUBBER, 1/4" X 1.5" SQUARE (1505-507)</t>
  </si>
  <si>
    <t>PVM, FR, SHAR ND-6KE1DA, 208 WP, UL, W/MC (1505-510)</t>
  </si>
  <si>
    <t>SCREW, CAP, HH, 1/4-20 X 1-3/4, 18-8SS, WITH PATCH (1505-516)</t>
  </si>
  <si>
    <t>CHANNEL, STRUT, 2-7/16", P5500, GALVY, SLOTTED,4' (1505-518)</t>
  </si>
  <si>
    <t>FLASHING, UNDERLAP, COMP, SUNTILE (1505-519)</t>
  </si>
  <si>
    <t>FLASHING, TOP, SUNTILE (1505-522)</t>
  </si>
  <si>
    <t>FLASHING, OVERLAP, COMP, MALE, SUNTILE (1505-523)</t>
  </si>
  <si>
    <t>FLASHING, BOTTOM, COMP, SUNTILE (1505-528)</t>
  </si>
  <si>
    <t>ASSY, FLASHING, BOTTOM, S, SUNTILE (1505-530)</t>
  </si>
  <si>
    <t>LEAD, BOTTOM, TILE (1505-541)</t>
  </si>
  <si>
    <t>FLASHING, BOTTOM, S, SUNTILE (1505-542)</t>
  </si>
  <si>
    <t>FLASHING, OVERLAP, S, SUNTILE (1505-546)</t>
  </si>
  <si>
    <t>DEFLECTOR, NORTH, SANY190, POWERTILT10 (1506-530)</t>
  </si>
  <si>
    <t>DEFLECTOR, EAST, SANY190, POWERTILT10 (1506-531)</t>
  </si>
  <si>
    <t>DEFLECTOR, WEST, SANY190, POWERTILT10 (1506-532)</t>
  </si>
  <si>
    <t>DEFLECTOR, NORTH, SHAR208, POWERTILT10 (1506-533)</t>
  </si>
  <si>
    <t>DEFLECTOR, EAST, SHAR208, POWERTILT10 (1506-534)</t>
  </si>
  <si>
    <t>DEFLECTOR, WEST, SHAR208, POWERTILT10 (1506-535)</t>
  </si>
  <si>
    <t>SPACER, ARRAY EDGE, POWERTILT10 (1506-536)</t>
  </si>
  <si>
    <t>BLOCK, THERMAL, THERMOCOUPLE, 8-POLE (1506-538)</t>
  </si>
  <si>
    <t>CELL, QCELLS, POLY, 156MM, Q6LTT-180, 15.6, 3.80 Wp (1506-543)</t>
  </si>
  <si>
    <t>CLIP, PV MOUNTING, EFF, WIDE, POWERTILT10 (1506-546)</t>
  </si>
  <si>
    <t>PVM, FR, POWE PL-205-QP-I, 205W, IEC, W/MC (1506-551)</t>
  </si>
  <si>
    <t>TOOL, SPACER BAR, MAIN, SMART MOUNT (1506-552)</t>
  </si>
  <si>
    <t>TOOL, SPACER BAR, CROSS, SMART MOUNT (1506-554)</t>
  </si>
  <si>
    <t>NEUTRAL KIT, ISOLATED, FOR MILBANK CLASS 200 (1506-556)</t>
  </si>
  <si>
    <t>CABINET, METER, NO SW, CLASS 320, 480V, 7JAW, L&amp;G (1506-557)</t>
  </si>
  <si>
    <t>ASSY, CABINET, NO SW, CLASS 200, W/ NEUTRAL KIT (1506-559)</t>
  </si>
  <si>
    <t>CIRCUIT BOARD, HSN, SB72EX-101 (1506-561)</t>
  </si>
  <si>
    <t>ASSY, CABLE, DB9_M_DB9_F, 30" (1506-562)</t>
  </si>
  <si>
    <t>ASSY, CABLE, CAT_5, 24" (1506-563)</t>
  </si>
  <si>
    <t>METAL COVER, HSN_COVER_01 (1506-564)</t>
  </si>
  <si>
    <t>ENCLOSURE, J-BOX, 8.0 X 6.0 X 3.5, NEMA 4 (1506-566)</t>
  </si>
  <si>
    <t>ASSY, ENCLOSURE, J-BOX, REF CELL, POWER TRACKER (1506-568)</t>
  </si>
  <si>
    <t>HOUSING, BEARING INSERT, GPT-20 (1506-571)</t>
  </si>
  <si>
    <t>BEARING, INSERT, RADIAL, GPT-20 (1506-573)</t>
  </si>
  <si>
    <t>STRUT TOP, TELESCOPING, 11 MOD SUNP, GPT-20 (1506-576)</t>
  </si>
  <si>
    <t>STRUT BOTTOM, TELESCOPING, 11 MOD SUNP, GPT-20 (1506-577)</t>
  </si>
  <si>
    <t>CELL, ERSOL, MONO, 156MM, E6M+, 3.75 Wp (1506-580)</t>
  </si>
  <si>
    <t>PVM, FR, POWE PL-230-EM-I, 230W, ERSOL, IEC, 2.2 M JUMPER, W/CT (1506-581)</t>
  </si>
  <si>
    <t>BOLT, HH, 1/4-20 X 1.75, ASTM 593C (1506-582)</t>
  </si>
  <si>
    <t>INVERTER, SATCON, PWRGT,500KW,480VAC,60 HZ,POS GND (1506-588)</t>
  </si>
  <si>
    <t>SIGN, AL,"WARNING, DUAL POWER",2.5"X4.3",SUNT (1506-591)</t>
  </si>
  <si>
    <t>SIGN, AL,"WARNING, DUAL POWER, DISC",2.5"X4.3"SUNT (1506-592)</t>
  </si>
  <si>
    <t>PLATE, BRG RETENTION, ROUND, HOLED, GPT-20 (1506-594)</t>
  </si>
  <si>
    <t>TORQUE TUBE, 11 MOD SUNP, GPT-20 (1506-595)</t>
  </si>
  <si>
    <t>STRUT, PV SUPPORT, SHORT, 11 MOD SUNP, GPT-20 (1506-596)</t>
  </si>
  <si>
    <t>STRUT, PV SUPPORT, LONG, 11 MOD SUNP, GPT-20 (1506-597)</t>
  </si>
  <si>
    <t>DRIVE STRUT, 16' SCHED 40 PIPE, GPT-20 (1506-602)</t>
  </si>
  <si>
    <t>ASSY, DRIVE STRUT, 16', GPT-20 (1506-604)</t>
  </si>
  <si>
    <t>TORQUE ARM, BOLT ON, GPT-20 (1506-605)</t>
  </si>
  <si>
    <t>PLATE, BRG RETENTION, RECT., FOR 12GA, GPT-20 (1506-606)</t>
  </si>
  <si>
    <t>WASHER, STAR, 1/4, 18-8 SS (1506-608)</t>
  </si>
  <si>
    <t>INVERTER, SATCON, 30 KW, 208V, 60 HZ, NEG GND, GFI (1506-613)</t>
  </si>
  <si>
    <t>INVERTER, SATCON, 30 KW, 208V, 60 HZ, POS GND, GFI (1506-614)</t>
  </si>
  <si>
    <t>INVERTER, SATCON, 50 KW, 208V, 60 HZ, NEG GND, GFI (1506-615)</t>
  </si>
  <si>
    <t>INVERTER, SATCON, 50 KW, 208V, 60 HZ, POS GND, GFI (1506-616)</t>
  </si>
  <si>
    <t>INVERTER, SATCON, 75 KW, 208V, 60 HZ, NEG GND, GFI (1506-617)</t>
  </si>
  <si>
    <t>INVERTER, SATCON, 75 KW, 208V, 60 HZ, POS GND, GFI (1506-618)</t>
  </si>
  <si>
    <t>INVERTER, SATCON, 100KW, 208V, 60 HZ, NEG GND, GFI (1506-619)</t>
  </si>
  <si>
    <t>INVERTER, SATCON, 100KW, 208V, 60 HZ, POS GND, GFI (1506-620)</t>
  </si>
  <si>
    <t>INVERTER, SATCON, 135KW, 208V, 60 HZ, NEG GND, GFI (1506-621)</t>
  </si>
  <si>
    <t>INVERTER, SATCON, 135KW, 208V, 60 HZ, POS GND, GFI (1506-622)</t>
  </si>
  <si>
    <t>INVERTER, SATCON, 225KW, 208V, 60 HZ, NEG GND, GFI (1506-623)</t>
  </si>
  <si>
    <t>INVERTER, SATCON, 225KW, 208V, 60 HZ, POS GND, GFI (1506-624)</t>
  </si>
  <si>
    <t>INVERTER, SATCON, 30 KW, 480V, 60 HZ, NEG GND, GFI (1506-625)</t>
  </si>
  <si>
    <t>INVERTER, SATCON, 30 KW, 480V, 60 HZ, POS GND, GFI (1506-626)</t>
  </si>
  <si>
    <t>INVERTER, SATCON, 50 KW, 480V, 60 HZ, NEG GND, GFI (1506-627)</t>
  </si>
  <si>
    <t>INVERTER, SATCON, 50 KW, 480V, 60 HZ, POS GND, GFI (1506-628)</t>
  </si>
  <si>
    <t>INVERTER, SATCON, 75 KW, 480V, 60 HZ, NEG GND, GFI (1506-629)</t>
  </si>
  <si>
    <t>INVERTER, SATCON, 75 KW, 480V, 60 HZ, POS GND, GFI (1506-630)</t>
  </si>
  <si>
    <t>INVERTER, SATCON, 100KW, 480V, 60 HZ, NEG GND, GFI (1506-631)</t>
  </si>
  <si>
    <t>INVERTER, SATCON, 100KW, 480V, 60 HZ, POS GND, GFI (1506-632)</t>
  </si>
  <si>
    <t>INVERTER, SATCON, 135KW, 480V, 60 HZ, NEG GND, GFI (1506-633)</t>
  </si>
  <si>
    <t>INVERTER, SATCON, 135KW, 480V, 60 HZ, POS GND, GFI (1506-634)</t>
  </si>
  <si>
    <t>INVERTER, SATCON, 225KW, 480V, 60 HZ, NEG GND, GFI (1506-635)</t>
  </si>
  <si>
    <t>INVERTER, SATCON, 225KW, 480V, 60 HZ, POS GND, GFI (1506-636)</t>
  </si>
  <si>
    <t>INVERTER, SATCON, 500KW, 480V, 60 HZ, NEG GND, GFI (1506-637)</t>
  </si>
  <si>
    <t>INVERTER, SATCON, 500KW, 480V, 60 HZ, POS GND, GFI (1506-638)</t>
  </si>
  <si>
    <t>INVERTER, XANTREX, PV225S-480-P, NEG GND, GFI (1506-643)</t>
  </si>
  <si>
    <t>INVERTER, XANTREX, PV225S-480-P, POS GND, GFI (1506-644)</t>
  </si>
  <si>
    <t>BBD, FOAM, EVER ES-180/190 (1506-649)</t>
  </si>
  <si>
    <t>ASSY, BBD, EVER ES-180/190 (1506-650)</t>
  </si>
  <si>
    <t>ASSY, TILE, EVER ES-180-RL, 180WP, UL (1506-651)</t>
  </si>
  <si>
    <t>ASSY, TILE, EVER ES-190-RL, 190WP, UL (1506-652)</t>
  </si>
  <si>
    <t>WIRE ROPE, INTERCONNECT, SUNP210, POWERTILT10 (1506-656)</t>
  </si>
  <si>
    <t>WIRE ROPE, INTERCONNECT, NORTH,SUNP210,POWERTILT10 (1506-657)</t>
  </si>
  <si>
    <t>WIRE ROPE, INTERCONNECT, EVER180, POWERTILT10_x000D_ (1506-658)</t>
  </si>
  <si>
    <t>WIRE ROPE, INTERCONNECT,NORTH,EVER180, POWERTILT10 (1506-659)</t>
  </si>
  <si>
    <t>FOOT, CHANNEL, SWIVEL, GPT-20 (1506-668)</t>
  </si>
  <si>
    <t>INVERTER, SMA SC100 NG, 100KW, OUTDOOR (1506-669)</t>
  </si>
  <si>
    <t>INVERTER, SMA SC100 NG, 100KW, OUTDOOR, POS GND (1506-670)</t>
  </si>
  <si>
    <t>INVERTER, INGETEAM INGECON 100, 100KW, 400V (1506-671)</t>
  </si>
  <si>
    <t>ASSY, KIT, J-BOX, REF, CELL, TRACKER (1506-672)</t>
  </si>
  <si>
    <t>CABLE, DATA, 22AWG, 4 WIRE, SHIELDED, REF, CELL (1506-673)</t>
  </si>
  <si>
    <t>PVM, FR, POWE PL-195-QP-I, 195W, IEC, W/MC (1506-674)</t>
  </si>
  <si>
    <t>PVM, FR, POWE PL-230-QP-I, 230W, IEC, 2.2 M JUMPER, W/CT (1506-676)</t>
  </si>
  <si>
    <t>ANGLE, BEARING RETENTION, GPT-20 (1506-679)</t>
  </si>
  <si>
    <t>ROD, THREADED, 3/4-10 X 10 FT, STEEL, ZC (1506-684)</t>
  </si>
  <si>
    <t>HOSE, EPDM, VALUFLEX, 3/8" ID X 18"L, BLACK (1506-687)</t>
  </si>
  <si>
    <t>TIE, CABLE, 3/16 W X 10 L, BLACK, UV RESISTANT, UL (1506-688)</t>
  </si>
  <si>
    <t>BOLT, HH, 3/4-10 X 4.5, HDG, A-325 (1506-689)</t>
  </si>
  <si>
    <t>WASHER, LOCK, SPLIT, 3/4, GALV B695 GR50 (1506-690)</t>
  </si>
  <si>
    <t>BOLT, HH, 3/4-10 X 6, HDG, A-325 (1506-691)</t>
  </si>
  <si>
    <t>LABEL, HSN (1506-696)</t>
  </si>
  <si>
    <t>Monitoring Item, SPR-PMR-ACC, SPRm External Mount Accessory Kit - DO NOT USE</t>
  </si>
  <si>
    <t>COVER, SUNSHIELD, INVERTER, XANTREX, PV225S (1506-699)</t>
  </si>
  <si>
    <t>STRING BOX, SMA, SSB 16 INPUTS, 16A, MC4, W/ DC SWITCH, POS-GND (1506-700)</t>
  </si>
  <si>
    <t>STRING BOX, SMA, SSB 16 INPUTS, 16A, MC4, W/ DC SWITCH (1506-701)</t>
  </si>
  <si>
    <t>STRING BOX, SMA, SSB 16 INPUTS, 20A, MC4, W/ DC SWITCH (1506-702)</t>
  </si>
  <si>
    <t>FUSE BOX, MAIN, SINGLE POLE, UNFUSED, SMA (1506-704)</t>
  </si>
  <si>
    <t>PVM, FR, SHAR ND-6KE1DF, 208 WP, UL, W/MC (1506-706)</t>
  </si>
  <si>
    <t>CLIP, PV MOUNTING, IFF, SHALLOW (1506-709)</t>
  </si>
  <si>
    <t>CLIP, PV MOUNTING, IFF, SHALLOW, BLK (1506-711)</t>
  </si>
  <si>
    <t>CLIP, ARRAY EDGE, RESIDENTIAL (1506-723)</t>
  </si>
  <si>
    <t>FLASHING, SMART MOUNT, BASE, BLK (1506-724)</t>
  </si>
  <si>
    <t>CELL, QCELLS, MONO, 156MM, Q6LM, 16.2, 3.83 Wp (1506-725)</t>
  </si>
  <si>
    <t>CELL, QCELLS, MONO, 156MM, Q6LM, 16.4, 3.88 Wp (1506-726)</t>
  </si>
  <si>
    <t>PEDESTAL, BEARING, 4.5" OD X 7 GA, 14' LONG (1506-026)</t>
  </si>
  <si>
    <t>WELDMENT, TORQUE ARM, GWANGJU (1506-044)</t>
  </si>
  <si>
    <t>PIN, LONG PIVOT, .88 X 6.88 (1506-045)</t>
  </si>
  <si>
    <t>CABLE, METAL-CLAD, 10-2, SOLID (1506-046)</t>
  </si>
  <si>
    <t>NUT, HEX, 8-32,18-8 SS (1506-048)</t>
  </si>
  <si>
    <t>BREAKER, CIRCUIT, 2P-120, 20A, 240V (1506-049)</t>
  </si>
  <si>
    <t>BREAKER, CIRCUIT, TANDEM, 2P, 15A &amp; 15A (1506-050)</t>
  </si>
  <si>
    <t>BREAKER, CIRCUIT, 2P, 15A, 240V (1506-053)</t>
  </si>
  <si>
    <t>SCREW, SM, S-T, HWH, #10 X .75", 18-8SS (1506-057)</t>
  </si>
  <si>
    <t>ASSY, CABLE, JUMPER, MC, 10', UL (1506-058)</t>
  </si>
  <si>
    <t>ASSY, CABLE, JUMPER, MC, 5', UL (1506-059)</t>
  </si>
  <si>
    <t>ASSY, SUNTILE, SUNP, 63WP, EX FNT BKT (1506-061)</t>
  </si>
  <si>
    <t>STANDOFF, IFF, PERIMETER, 1.65, SHAR, NAT (1506-065)</t>
  </si>
  <si>
    <t>TAPE, 3M CONFORMABLE FOAM 4979F,BLACK,  3/4" WIDE (1506-066)</t>
  </si>
  <si>
    <t>WIRE TRAY, FIXED TILT, SPRINGS PRESERVE, MID (1506-074)</t>
  </si>
  <si>
    <t>PEDESTAL, BEARING, 4.5" OD X 5/16", 12' LONG (1506-085)</t>
  </si>
  <si>
    <t>CONTROLLER, PLC, POWERTRACKER, 3 PH, 380-480V (1506-086)</t>
  </si>
  <si>
    <t>END CAP, WIRETRAY, SPRINGS PRESERVE, EAST (1506-087)</t>
  </si>
  <si>
    <t>END CAP, WIRETRAY, SPRINGS PRESERVE, WEST (1506-088)</t>
  </si>
  <si>
    <t>WIRE TRAY, FIXED TILT, SPRINGS PRESERVE, LONG (1506-094)</t>
  </si>
  <si>
    <t>WIRE TRAY, FIXED TILT, SPRINGS PRESERVE, SHORT (1506-095)</t>
  </si>
  <si>
    <t>PVM, UNFR, POWE, PL-220L-QP-U, 220WP, UL, W/MC (1506-099)</t>
  </si>
  <si>
    <t>PVM, UNFR, EVER ES-180-RL, 180 WP, UL, W/ MC (1506-109)</t>
  </si>
  <si>
    <t>PVM, UNFR, EVER ES-190-RL, 190 WP, UL, W/ MC (1506-110)</t>
  </si>
  <si>
    <t>PVM, UNFR, SANY HIP-180CA5, 180 WP, UL, W/MC (1506-121)</t>
  </si>
  <si>
    <t>PVM, UNFR, SANY HIP-186CA5, 186 WP, UL, W/MC (1506-122)</t>
  </si>
  <si>
    <t>SCREW, HH, # 10 X 1.5", RUBBER GROMMET WASHER, SS (1506-125)</t>
  </si>
  <si>
    <t>PVM, FR, POWE PL-220-QP-I, 220W, IEC, 2.2 M JUMPER, W/CT (1506-128)</t>
  </si>
  <si>
    <t>PVM, UNFR, POWE ST-70L-QM-U, 70W, UL, W/MC (1506-129)</t>
  </si>
  <si>
    <t>FIXTURE, DRILL, INCLINOMETER, POWERTRACKER (1506-135)</t>
  </si>
  <si>
    <t>PVM, FR, SUNT STP260S-24/Vb, 260 WP, IEC, W/ MC (1506-136)</t>
  </si>
  <si>
    <t>PVM, FR, SUNT STP260S-24/Vb, 260 WP, UL, W/ MC (1506-137)</t>
  </si>
  <si>
    <t>REFERENCE CELL, SOLARSTRAHLUNGSSENSOR Si-01TC-T-PL (1506-148)</t>
  </si>
  <si>
    <t>SHIM, PV TO TORQUE TUBE, AL, 1/2" (1506-154)</t>
  </si>
  <si>
    <t>PVM, UNFR, SANY HIP-200CA(#), 200 WP, UL, W/MC (1506-158)</t>
  </si>
  <si>
    <t>PVM, FR, SHAR ND-6AE3DD, 205 WP, IEC, W/MC (1506-160)</t>
  </si>
  <si>
    <t>ASSY, FLASHING, CORNER, OVR, UPR, COMP, SUNTILE (1506-166)</t>
  </si>
  <si>
    <t>ASSY, FLASHING, CORNER, OVR, UPR, S, SUNTILE (1506-167)</t>
  </si>
  <si>
    <t>ASSY, FLASHING, CORNER, UDR, UPR, COMP, SUNTILE (1506-171)</t>
  </si>
  <si>
    <t>ASSY, FLASHING, CORNER, UDR, UPR, S, SUNTILE (1506-172)</t>
  </si>
  <si>
    <t>ASSY, FLASHING, CORNER, UDR, LWR, COMP, SUNTILE (1506-173)</t>
  </si>
  <si>
    <t>ASSY, FLASHING, CORNER, UDR, LWR, S, SUNTILE (1506-176)</t>
  </si>
  <si>
    <t>ASSY, FLASHING, CORNER, OVR, LWR, COMP, SUNTILE (1506-179)</t>
  </si>
  <si>
    <t>ASSY, FLASHING, CORNER, OVR, LWR, S, SUNTILE (1506-181)</t>
  </si>
  <si>
    <t>ASSY, TILE, SUNP SPR-220-WHT, 220 WP, UL (1506-185)</t>
  </si>
  <si>
    <t>ASSY, TILE, SANY HIP-200CA(#), 200 WP, UL (1506-186)</t>
  </si>
  <si>
    <t>PVM, FR, SANY HIP-190DA1, BIFACIAL, 190 WP, UL (1506-188)</t>
  </si>
  <si>
    <t>CORD GRIP, 1/2", 5 HOLE, LIQUID TIGHT (1506-189)</t>
  </si>
  <si>
    <t>BOLT,CARRIAGE,M10X150,40MM THRD, SPEC 1506-589 (1506-190)</t>
  </si>
  <si>
    <t>BOLT,CARRIAGE,1/4-20 X 3/4, 18-8SS (1506-193)</t>
  </si>
  <si>
    <t>END CAP, TUBE, POWERTRACKER, PORTUGUESE (1506-194)</t>
  </si>
  <si>
    <t>SIGN, AL, "DC FUSED COMB BOX DANGER", PL-CB-56-01 (1506-196)</t>
  </si>
  <si>
    <t>SIGN, AL, "DC FUSED COMB BOX DANGER", PL-CB-36-01 (1506-197)</t>
  </si>
  <si>
    <t>SIGN, AL, "DC FUSED COMB BOX DANGER", PL-CB-35-01 (1506-198)</t>
  </si>
  <si>
    <t>CHANNEL, STRUT, 1-5/8X1-5/8,12GA,HG,LONG SLOT,20' (1506-200)</t>
  </si>
  <si>
    <t>PACKAGING, CORNER, BOTTOM, 2PACK, SUNTILE (1506-202)</t>
  </si>
  <si>
    <t>PACKAGING, CORNER, TOP, 2PACK, SUNTILE (1506-203)</t>
  </si>
  <si>
    <t>LABEL, UL MARK, COMBINER BOX, UNIVERSAL (1506-208)</t>
  </si>
  <si>
    <t>BRACKET, CONTROLLER SUPPORT, POWERTRACKER (1506-209)</t>
  </si>
  <si>
    <t>STRAP, CUSHIONED, SS, SILICONE, 3/8OD, 1/32WIDTH (1506-211)</t>
  </si>
  <si>
    <t>BOLT, HVYHX STRUCTURAL, 3/4-10 X 3.25, HDG, A-325 (1506-212)</t>
  </si>
  <si>
    <t>SHIM, PV TO TORQUE TUBE, AL, 3/4" (1506-213)</t>
  </si>
  <si>
    <t>FILLET, ANTI-PONDING, FOAM, 4', 10" X 2" X 3/8" (1506-216)</t>
  </si>
  <si>
    <t>SIGN,  AL,"DANGER, POS POLE DC SYS GROUND",3"X7.5" (1506-221)</t>
  </si>
  <si>
    <t>PEDESTAL, BEARING, 4.5" OD X 1/4", 14' LONG (1506-223)</t>
  </si>
  <si>
    <t>BOLT,CARRIAGE,M10X160,50MM THRD, SPEC 1506-589 (1506-224)</t>
  </si>
  <si>
    <t>BRACKET, REFERENCE CELL, 0 TO 10 DEG, MET STATION (1506-225)</t>
  </si>
  <si>
    <t>KIT,  REAR MOUNTING, COMB. BOX, SS (1506-226)</t>
  </si>
  <si>
    <t>ASSY, COMB, BOX, 56 STRING, WITH MOUNTING KIT (1506-227)</t>
  </si>
  <si>
    <t>ASSY, COMB, BOX, 36 STRING, WITH MOUNTING KIT (1506-228)</t>
  </si>
  <si>
    <t>ASSY, COMB, BOX, 35 STRING, WITH MOUNTING KIT (1506-229)</t>
  </si>
  <si>
    <t>WASHER, BELLEVILLE, IFF CLIP (1506-232)</t>
  </si>
  <si>
    <t>INVERTER, SATCON, POWERGATE, 500KW, 480VAC, 60 HZ (1506-235)</t>
  </si>
  <si>
    <t>INVERTER, SATCON, POWERGATE, 225KW, 480VAC, 60 HZ (1506-236)</t>
  </si>
  <si>
    <t>INVERTER, SATCON, POWERGATE, 225KW, 208VAC, 60 HZ (1506-237)</t>
  </si>
  <si>
    <t>INVERTER, SATCON, POWERGATE, 135KW, 480VAC, 60 HZ (1506-238)</t>
  </si>
  <si>
    <t>INVERTER, SATCON, POWERGATE, 135KW, 208VAC, 60HZ (1506-239)</t>
  </si>
  <si>
    <t>KIT, PLH24, SUNTILE (1506-244)</t>
  </si>
  <si>
    <t>KIT, PLH26, SUNTILE (1506-245)</t>
  </si>
  <si>
    <t>KIT, PLH32, SUNTILE (1506-248)</t>
  </si>
  <si>
    <t>KIT, PLH36, SUNTILE (1506-250)</t>
  </si>
  <si>
    <t>KIT, PLH38, SUNTILE (1506-252)</t>
  </si>
  <si>
    <t>KIT, PLH40, SUNTILE (1506-253)</t>
  </si>
  <si>
    <t>SIGN, AL,"PV DISC FOR UTILITY OPER",2.5"X4.3",SUNT (1506-265)</t>
  </si>
  <si>
    <t>BOLT, HH, 1/4-20 X 1.75", ASTM F593C, W/ PATCH (1506-266)</t>
  </si>
  <si>
    <t>BOLT, HH, 1/4-20 X 2.00", ASTM F593C, W/ PATCH (1506-267)</t>
  </si>
  <si>
    <t>BOLT, HH, 1/4-20 X 2.25", ASTM F593C,  W/ PATCH (1506-268)</t>
  </si>
  <si>
    <t>BOLT, HH, 1/4-20 X 2.50", ASTM F593C,  W/ PATCH (1506-269)</t>
  </si>
  <si>
    <t>BOLT, HH, 1/4-20 X 3.00", ASTM F593C,  W/ PATCH (1506-271)</t>
  </si>
  <si>
    <t>BOLT, HH, 1/4-20 X 3.50", ASTM F593C,  W/ PATCH (1506-273)</t>
  </si>
  <si>
    <t>GFI OPTION, SATCON, POWERGATE, 500KW (1506-277)</t>
  </si>
  <si>
    <t>GFI OPTION, SATCON, POWERGATE, 225KW (1506-278)</t>
  </si>
  <si>
    <t>GFI OPTION, SATCON, POWERGATE, 135KW (1506-279)</t>
  </si>
  <si>
    <t>BOLT,CARRIAGE,3/8-16X6,1"THRD, SPEC 1506-589 (1506-283)</t>
  </si>
  <si>
    <t>BOLT,CARRIAGE,3/8-16X6.5,1"THRD, SPEC 1506-589 (1506-284)</t>
  </si>
  <si>
    <t>CASSETTE, MEMORY, FX3U 16X,POWERTRACKER CONTROLLER (1506-285)</t>
  </si>
  <si>
    <t>SIGN, AL, "POWERTILT", PUNCHED, 5"X14" (OBSOLETE- SEE1507-540) (1506-287)</t>
  </si>
  <si>
    <t>PVM, FR, SCHO, ASE-300, 290 WP, 50V, UL, W/MC (1506-289)</t>
  </si>
  <si>
    <t>PVM, FR, SCHO, ASE-300, 280 WP, 50V, UL, W/MC (1506-290)</t>
  </si>
  <si>
    <t>PVM, FR, SHAR NT-180U1, 180 WP, UL, W/M (1506-313)</t>
  </si>
  <si>
    <t>UNDERLAYMENT, FIRE RETARDANT, 3.5 SQ (1506-314)</t>
  </si>
  <si>
    <t>BOLT,CARRIAGE,3/8-16X7.5,1"THRD, SPEC 1506-589 (1506-328)</t>
  </si>
  <si>
    <t>TOOL, SETTER, IFF CLIP (1506-329)</t>
  </si>
  <si>
    <t>PVM, FR, SANY HIP-175BA3, 175 WP, UL, W/MC (1506-341)</t>
  </si>
  <si>
    <t>INVERTER, XANTREX, PV225S-P-480V,W/SWTCH &amp; XFRM DISC,POS.GND (1506-342)</t>
  </si>
  <si>
    <t>PEDESTAL, BEARING, 4.5" OD X 3/8", 14' LONG (1506-344)</t>
  </si>
  <si>
    <t>CLAMP, STANDING SEAM ROOF, S-5-Z, 1/4-20 CNTRD (1506-346)</t>
  </si>
  <si>
    <t>PVM, FR, POWE PL-220-QP-U, 220W, UL,W/MC (1506-347)</t>
  </si>
  <si>
    <t>INVERTER, SATCON, POWERGATE, 100KW, 240VAC, 60 HZ (1506-348)</t>
  </si>
  <si>
    <t>INVERTER, SATCON, POWERGATE, 50KW, 480VAC, 60 HZ (1506-349)</t>
  </si>
  <si>
    <t>STANDOFF, IFF, PERIMETER, 0.80, NAT (1506-354)</t>
  </si>
  <si>
    <t>NUT, CHANNEL, W/O SPRING, 1/4-20, GALV STEEL (1506-355)</t>
  </si>
  <si>
    <t>RIVET, BLIND, POP SSD-43-SSBS (1506-361)</t>
  </si>
  <si>
    <t>TAPE, VHB, 3M 4926, 1/2" WIDE (1506-362)</t>
  </si>
  <si>
    <t>CLIP, ASSEMBLY,MOUNTING, PVLAMINATE, DOUBLE--SIDED (1506-363)</t>
  </si>
  <si>
    <t>LABEL, CONTROLLER, CE, TRACKER (1506-367)</t>
  </si>
  <si>
    <t>PEDESTAL, BEARING, 4.5" OD X 1/4" (6 MM), 12' LONG (1506-369)</t>
  </si>
  <si>
    <t>PEDESTAL, BEARING, 4.5" OD X 5/16", 14' LONG (1506-370)</t>
  </si>
  <si>
    <t>PEDESTAL, BEARING, 4.5" OD X 3/8", 12' LONG (1506-371)</t>
  </si>
  <si>
    <t>TUBING, SQUARE, 4 X 4 X 11GA, 34-9" LONG (1506-373)</t>
  </si>
  <si>
    <t>TUBING, SQUARE, 4 X 4 X 11GA, 36'-4" LONG, SPLICED (1506-378)</t>
  </si>
  <si>
    <t>CLIP, PV MOUNTING, IFF, TALL, NATURAL (1506-379)</t>
  </si>
  <si>
    <t>SCREW, CAP, SH, M8-1.25 X 20, 18-8 SS (1506-381)</t>
  </si>
  <si>
    <t>WASHER, FLAT, M8, 18-8 SS, DIN 125 (1506-382)</t>
  </si>
  <si>
    <t>WASHER, LOCK, SPLIT, M8, 18-8 SS (1506-383)</t>
  </si>
  <si>
    <t>NUT, HEX, M8-1.25, 18-8 SS (1506-384)</t>
  </si>
  <si>
    <t>CLIP, MOUNTING, PV, DOUBLE-SIDED, SCHLETTER (1506-385)</t>
  </si>
  <si>
    <t>CLIP, MOUNTING, PV, SINGLE-SIDED, SCHLETTER (1506-386)</t>
  </si>
  <si>
    <t>BAR, RAIL, 5/8 HOLES (1506-389)</t>
  </si>
  <si>
    <t>CHANNEL, STRUT, 1-5/8", P1000, HDG, SLOTTED,76" (1506-394)</t>
  </si>
  <si>
    <t>SCREW, SM, ST, HWH, #10 X 3/8, 18-8SS (1506-396)</t>
  </si>
  <si>
    <t>SCREW,SM,S-T,HWH,#12 X 1/2,18-8SS (1506-397)</t>
  </si>
  <si>
    <t>BOLT, HH, 5/8-11X5.5, 2" THRD, GR5, GALV B695 GR50 (1506-400)</t>
  </si>
  <si>
    <t>NUT, CHANNEL, P1012, 5/8-11, ZC (1506-401)</t>
  </si>
  <si>
    <t>STANDOFF, IFF, PERIMETER, 1.20, SHAR165-185, NAT (1506-403)</t>
  </si>
  <si>
    <t>TUBING, SQUARE, 4 X 4 X 11GA, 38' LONG, SPLICED (1506-410)</t>
  </si>
  <si>
    <t>KIT, RETROFIT, GPS, CONTROLLER, POWERTRACKER (1506-412)</t>
  </si>
  <si>
    <t>INVERTER, SMA SUNNY CENTRAL,500 KW 820V (1506-413)</t>
  </si>
  <si>
    <t>COUPLER, CABLE, MC, IEC, 10 AWG, MALE (1506-414)</t>
  </si>
  <si>
    <t>COUPLER, CABLE, MC, IEC, 10 AWG, FEMALE (1506-415)</t>
  </si>
  <si>
    <t>OPTION, SUNNY TEAM FOR SMA SC500HE (1506-417)</t>
  </si>
  <si>
    <t>OPTION, SUNNY BOY CONTROL PLUS, RS 485 (1506-418)</t>
  </si>
  <si>
    <t>OPTION, ANTI-ISLANDING FOR SMA INVERTER (1506-419)</t>
  </si>
  <si>
    <t>OPTION, ETHERNET INTERFACE W/O ISDN ROUTER (1506-420)</t>
  </si>
  <si>
    <t>OPTION, LWL/CAT 5 INTERFACE CONVERTER (1506-421)</t>
  </si>
  <si>
    <t>SCREW, S-D, HWH, #10-16 X 5/8", #3 PT, 410SS (1506-425)</t>
  </si>
  <si>
    <t>SPACER, MAIN, PTYPE, SUNTILE 2 FR ISOL (1506-430)</t>
  </si>
  <si>
    <t>CELL, QCELLS, POLY, 156MM, Q6LTT-180, 15.2, 3.70 Wp (1506-433)</t>
  </si>
  <si>
    <t>ASSY, TILE, SANY HIP-180CA5, 180WP, RW (1506-434)</t>
  </si>
  <si>
    <t>ASSY, TILE, SANY HIP-186CA5, 186WP, RW (1506-435)</t>
  </si>
  <si>
    <t>CELL, QCELLS, MONO, 156MM, Q6LM, 16.0, 3.78 Wp (1506-436)</t>
  </si>
  <si>
    <t>SCREW, S-D, HWH, #14 X 1-1/4, #3 PT, 410SS (1506-438)</t>
  </si>
  <si>
    <t>PVM, FR, SANY HIP-200BA5, DEEP FRAME, 200 WP, UL (1506-446)</t>
  </si>
  <si>
    <t>PVM, FR, SANY HIP-205BA5, DEEP FRAME, 205 WP, UL (1506-447)</t>
  </si>
  <si>
    <t>CELL, QCELLS, POLY, 156MM, Q6LTT-180, 15.4, 3.75 Wp (1506-448)</t>
  </si>
  <si>
    <t>END CAP, TUBE, POWERTRACKER, SPANISH (1506-453)</t>
  </si>
  <si>
    <t>CLAMP, BEAM TO STRUT, HDG (1506-459)</t>
  </si>
  <si>
    <t>DRIVE UNIT, INTEGRATED, PLC, 3 PH, 208V (1506-462)</t>
  </si>
  <si>
    <t>ASSY, SUPPORT, MAIN, UNIVERSAL, POWERTILT10 (1506-463)</t>
  </si>
  <si>
    <t>ASSY, SUPPORT, NORTH, UNIVERSAL, POWERTILT10 (1506-464)</t>
  </si>
  <si>
    <t>ASSY, SUPPORT, SOUTH, UNIVERSAL, POWERTILT10 (1506-465)</t>
  </si>
  <si>
    <t>DEFLECTOR, NORTH, SUNP210, POWERTILT10 (1506-466)</t>
  </si>
  <si>
    <t>DEFLECTOR, NORTH, EC180, POWERTILT10 (1506-467)</t>
  </si>
  <si>
    <t>DEFLECTOR, NORTH, SHAR180, POWERTILT10 (1506-468)</t>
  </si>
  <si>
    <t>DEFLECTOR, EAST, SUNP210, POWERTILT10 (1506-469)</t>
  </si>
  <si>
    <t>DEFLECTOR, WEST, SUNP210, POWERTILT10 (1506-470)</t>
  </si>
  <si>
    <t>DEFLECTOR, EAST, EC180, POWERTILT10 (1506-471)</t>
  </si>
  <si>
    <t>DEFLECTOR, WEST, EC180, POWERTILT10 (1506-472)</t>
  </si>
  <si>
    <t>DEFLECTOR, EAST, SHAR180, POWERTILT10 (1506-473)</t>
  </si>
  <si>
    <t>DEFLECTOR, WEST, SHAR180, POWERTILT10 (1506-474)</t>
  </si>
  <si>
    <t>GEARMOTOR, 1/2 HP, RIGHT-ANGLE, SS SHAFT, 208V (1506-478)</t>
  </si>
  <si>
    <t>ASSY, 460 V GEARMOTOR, 15 TON  ACTUATOR (1506-483)</t>
  </si>
  <si>
    <t>INVERTER, XANTREX, PV100S-480-HE,W/SWTCH &amp; XFRM DISC,NEG GND (1506-492)</t>
  </si>
  <si>
    <t>INVERTER, XANTREX, PV100S-208-HE,W/SWTCH &amp; XFRM DISC,POS GND (1506-493)</t>
  </si>
  <si>
    <t>NUT, HEX, 3/4-16, LOW PROFILE, 18-8 SS (1506-508)</t>
  </si>
  <si>
    <t>CLIP, WIRE, SANYO, BIFACIAL (1506-517)</t>
  </si>
  <si>
    <t>TAPE, PE FOAM, 1/16 X 3/8, ACRYLIC ADHESIVE, BLACK (1506-522)</t>
  </si>
  <si>
    <t>CELL, QCELLS, POLY, 156MM, Q6LTT-180, 14.8, 3.60 Wp (1506-524)</t>
  </si>
  <si>
    <t>CELL, QCELLS, POLY, 156MM, Q6LTT-180, 15.0, 3.65 Wp (1506-525)</t>
  </si>
  <si>
    <t>CLAMP,STAND SEAM ROOF,S-5-U,1/4-20 CNTRD,SIDE&amp;TOP (1506-529)</t>
  </si>
  <si>
    <t>CONNECTOR, TYPE CF-350 STRAIGHT, LIQUATITE (1507-034)</t>
  </si>
  <si>
    <t>KIT, COMBINER BOX PAD, 36 STRING, GPT-20 (1507-038)</t>
  </si>
  <si>
    <t>KIT, COMBINER BOX PAD, 56 STRING, GPT-20 (1507-040)</t>
  </si>
  <si>
    <t>PVM, FR, SANY HIP-190DA3, BIFACIAL, 190 WP, UL (1507-042)</t>
  </si>
  <si>
    <t>PVM, FR, SANY HIP-195DA3, BIFACIAL, 195 WP, UL (1507-043)</t>
  </si>
  <si>
    <t>PVM, FR, YING YL210 (156), 210 WP, IEC, W/ MC (1507-049)</t>
  </si>
  <si>
    <t>PVM, FR, YING YL220 (156), 220 WP, IEC, W/ MC (1507-050)</t>
  </si>
  <si>
    <t>LABEL,"CAUTION, PWR SRCS DISC", 3.5" X 4.25" SUNTL (1507-051)</t>
  </si>
  <si>
    <t>BRACKET, SHIPPING LEG SUPPORT, GPT-20 (1507-053)</t>
  </si>
  <si>
    <t>STANDOFF, SHIPPING, PLASTIC, GPT-20 (1507-055)</t>
  </si>
  <si>
    <t>ASSY, SUNTILE, SUNP, 57WP, EX FNT BKT (1507-057)</t>
  </si>
  <si>
    <t>SIGN, AL, "SYSTEM A", 1.5" X 6" (1507-059)</t>
  </si>
  <si>
    <t>SIGN, AL, "SYSTEM B", 1.5" X 6" (1507-060)</t>
  </si>
  <si>
    <t>SIGN, AL, "SYSTEM C", 1.5" X 6" (1507-061)</t>
  </si>
  <si>
    <t>SIGN, AL, "SYSTEM D", 1.5" X 6" (1507-062)</t>
  </si>
  <si>
    <t>SIGN, AL, "SYSTEM E", 1.5" X 6" (1507-063)</t>
  </si>
  <si>
    <t>SIGN, AL, "CB A1", 1.5" X 6" (1507-064)</t>
  </si>
  <si>
    <t>SIGN, AL, "CB A2", 1.5" X 6" (1507-065)</t>
  </si>
  <si>
    <t>SIGN, AL, "CB A3", 1.5" X 6" (1507-066)</t>
  </si>
  <si>
    <t>SIGN, AL, "CB B1", 1.5" X 6" (1507-067)</t>
  </si>
  <si>
    <t>SIGN, AL, "CB B2", 1.5" X 6" (1507-068)</t>
  </si>
  <si>
    <t>SIGN, AL, "CB B3", 1.5" X 6" (1507-069)</t>
  </si>
  <si>
    <t>SIGN, AL, "CB C1", 1.5" X 6" (1507-070)</t>
  </si>
  <si>
    <t>SIGN, AL, "CB C2", 1.5" X 6" (1507-071)</t>
  </si>
  <si>
    <t>SIGN, AL, "CB C3", 1.5" X 6" (1507-072)</t>
  </si>
  <si>
    <t>SIGN, AL, "PHOTOVOLTAIC SYSTEM", 2" X 2" (1507-073)</t>
  </si>
  <si>
    <t>SIGN, AL, "WARNING, PULL BOX", 3" X 6" (1507-074)</t>
  </si>
  <si>
    <t>SIGN, AL, "WARNING, DC TERMINAL BOX", 3" X 6" (1507-075)</t>
  </si>
  <si>
    <t>SIGN, AL, "WARNING, DC SWITCH #1", 3" X 6" (1507-076)</t>
  </si>
  <si>
    <t>SIGN, AL, "WARNING, DC SWITCH #2", 3" X 6" (1507-077)</t>
  </si>
  <si>
    <t>SIGN, AL, "WARNING, DC SWITCH #3", 3" X 6" (1507-078)</t>
  </si>
  <si>
    <t>SIGN, AL, "WARNING, AC DISCONNECT", 3" X 6" (1507-079)</t>
  </si>
  <si>
    <t>SIGN, AL, "WARNING, POWER METER", 3" X 6" (1507-080)</t>
  </si>
  <si>
    <t>SIGN, AL, "POWER METER &amp; AC DISCONNECT", 3"X6" (1507-081)</t>
  </si>
  <si>
    <t>SIGN, AL, "WARNING, DATA ACQUISITION SYS", 3" X 6" (1507-082)</t>
  </si>
  <si>
    <t>SIGN, AL, "SOLAR GEN UTILITY, AC SWITCH", 3" X 6" (1507-083)</t>
  </si>
  <si>
    <t>SIGN, AL, "POS POLE, DC SYS, GROUNDED", 3" X 6" (1507-084)</t>
  </si>
  <si>
    <t>SIGN, AL, "POTENTIAL ARC FLASH HAZARD", 3" X 6" (1507-085)</t>
  </si>
  <si>
    <t>SIGN, AL, "REFER TO MAP, UTLY DISCONNECT", 3" X 6" (1507-086)</t>
  </si>
  <si>
    <t>SIGN, AL, "MAP IN CAB, UTLY DISCONNECT", 3" X 6" (1507-087)</t>
  </si>
  <si>
    <t>SIGN, AL, "REFER TO MAP, PGE DISCONNECT", 3" X 6" (1507-088)</t>
  </si>
  <si>
    <t>SIGN, AL, "MAP IN CAB, PGE DISCONNECT", 3" X 6" (1507-089)</t>
  </si>
  <si>
    <t>SIGN, AL, "GEN INSTALLED ON PREMISES", 3" X 6" (1507-090)</t>
  </si>
  <si>
    <t>SIGN, AL, "PV ARRY DC DISCONNECT,MAX 80A",4" X 6" (1507-091)</t>
  </si>
  <si>
    <t>SIGN, AL, "PV ARRY DC DISCONNECT,MAX 160A",4" X 6" (1507-092)</t>
  </si>
  <si>
    <t>SIGN, AL, "PV ARRY DC DISCONNECT,MAX 320A",4" X 6" (1507-093)</t>
  </si>
  <si>
    <t>SIGN, AL, "PV ARRY DC DISCONNECT,MAX 480A",4" X 6" (1507-094)</t>
  </si>
  <si>
    <t>SIGN, AL, "SECONDARY POWER SOURCE", 4" X 6" (1507-095)</t>
  </si>
  <si>
    <t>CELL, QCELLS, POLY, 156MM, Q6LTT-180, 15.8, 3.85 Wp (1507-097)</t>
  </si>
  <si>
    <t>KIT, ISOLATED NEUTRAL, CLASS 320, FOR L&amp;G HQ CAB (1507-100)</t>
  </si>
  <si>
    <t>ASSY, CABINET, NO SW, CLASS 320 W/ NEUTRAL KIT (1507-101)</t>
  </si>
  <si>
    <t>INVERTER, XANTREX, 2.8KVA, 240VAC, POSITIVE GROUND (1507-102)</t>
  </si>
  <si>
    <t>SCREW, HH 9-15 X 2.5" HWH TRUE GRIP GT W/BD, BLDEX (1507-103)</t>
  </si>
  <si>
    <t>LABEL, "SUNPOWER, PERF MONITOR CABLE", 3"x5", SUNT (1507-109)</t>
  </si>
  <si>
    <t>ANGLE, STACKING, INTERMEDIATE, GPT-20 (1507-111)</t>
  </si>
  <si>
    <t>DRIVE STRUT, 20' SCHED 40 PIPE, GPT-20 (1507-115)</t>
  </si>
  <si>
    <t>DRIVE STRUT, 20' SQUARE TUBE, GPT-20 (1507-116)</t>
  </si>
  <si>
    <t>TRANSFORMER, CURRENT, 70A, 0.75" ID (1507-133)</t>
  </si>
  <si>
    <t>METER, STANDARD PULSE, WATTNODE, 120VAC, 4.00Hz (1507-134)</t>
  </si>
  <si>
    <t>SKID, STEEL, 12 MODULE TRACKER, GPT-20 (1507-135)</t>
  </si>
  <si>
    <t>KIT, METER, WATTNODE &amp; CURRENT TRANSFORMERS, HSN (1507-138)</t>
  </si>
  <si>
    <t>KIT, ASSY, MONITOR, HSN, NETWORK, CABLES &amp; WATTNODE COMP (1507-139)</t>
  </si>
  <si>
    <t>INVERTER, PV30208, 30KVA, POSITIVE GROUND (1507-143)</t>
  </si>
  <si>
    <t>PVM, FR, SANY HIP-186DA3, BIFACIAL, 186 WP, UL (1507-144)</t>
  </si>
  <si>
    <t>PADLOCK, SEAL, PLASTIC, AC DISCONNECT, SUNTILE (1507-146)</t>
  </si>
  <si>
    <t>WIRE, SOLID, BARE, COPPER, # 10 (1507-147)</t>
  </si>
  <si>
    <t>FUSE, DC FERRULE, 660V, 4A (1507-149)</t>
  </si>
  <si>
    <t>FUSE, DC FERRULE, 660V, 10A (1507-150)</t>
  </si>
  <si>
    <t>TERM, RING, 6 AWG, ", CU, TINNED, NON-INS, 10-PCK (1507-151)</t>
  </si>
  <si>
    <t>SPLIT BOLT, CU, #14-#6 AWG, DIRECT BURIAL, 2-WIRE (1507-152)</t>
  </si>
  <si>
    <t>TOOL, CRIMPING, TERMINAL, #8 AWG - 1/0 AWG (1507-153)</t>
  </si>
  <si>
    <t>STRING BOX, SMA, SSB 8 INPUTS, 16A, MC4, W/ DC SWITCH (1507-157)</t>
  </si>
  <si>
    <t>HOSE, EPDM, VALUFLEX, 1-1/4" ID, BLACK, 9' LENGTH (1507-170)</t>
  </si>
  <si>
    <t>PVM, FR, SANY HIP-186BA5, DEEP FRAME, 186 WP, UL, W/MC3 (1507-171)</t>
  </si>
  <si>
    <t>ADAPTER, RJ45 TO DB9, HSN (1507-172)</t>
  </si>
  <si>
    <t>NUT, HEX, 3/16, 4-40 , ZN (1507-173)</t>
  </si>
  <si>
    <t>DEFLECTOR, EAST, SPWR 96 CELL, POWERTILT10 (1507-174)</t>
  </si>
  <si>
    <t>DEFLECTOR, WEST, SPWR 96 CELL, POWERTILT10 (1507-175)</t>
  </si>
  <si>
    <t>ASSY, TILE, SUNP SPR-305-WHT, 305 WP, UL (1507-177-01)</t>
  </si>
  <si>
    <t>ASSY, TILE, SUNP SPR-300-WHT, 300 WP, UL (1507-177-02)</t>
  </si>
  <si>
    <t>ASSY, BBD, SUNP 96 CELL PG (1507-178)</t>
  </si>
  <si>
    <t>BBD, FOAM, SUNP 96 CELL MOD (1507-179)</t>
  </si>
  <si>
    <t>ENCLSR, NEMA 4X, 20 X 20 X 6, SS (1507-184)</t>
  </si>
  <si>
    <t>ASSY, DAS, NO METER, NL 100, SS ENCLOSURE (1507-185)</t>
  </si>
  <si>
    <t>ENCLSR, NEMA 4X, 24 X 24 X 10, SS (1507-186)</t>
  </si>
  <si>
    <t>ASSY, COMB BOX, 36 STRINGS, 24 X  24, SS ENCLSR (1507-187)</t>
  </si>
  <si>
    <t>ASSY, COMB BOX, 36 STRNGS, SS ENCLSR, W/MOUNTNG KT (1507-188)</t>
  </si>
  <si>
    <t>ASSY, MET STATION, FREE-STANDING, SS ENCLOSURE (1507-189)</t>
  </si>
  <si>
    <t>BAR, SPREADER, 4-COLUMN, POWERTILT, SUNP210 (1507-195)</t>
  </si>
  <si>
    <t>BAR, SPREADER, 3-COLUMN, POWERTILT, SUNP210 (1507-196)</t>
  </si>
  <si>
    <t>BAR, SPREADER, 2-COLUMN, POWERTILT, SUNP210 (1507-197)</t>
  </si>
  <si>
    <t>ASSY, TORQUE TUBE, 1000V,5-INCH,72 CELL,10 MOD (1507-211)</t>
  </si>
  <si>
    <t>TORQUE TUBE, 1000V,5-INCH,72 CELL,10 MOD (1507-212)</t>
  </si>
  <si>
    <t>STRUT, LEG, TOP, 1000V,5-INCH,72 CELL,10 MOD (1507-213)</t>
  </si>
  <si>
    <t>STRUT, LEG, BOTTOM, 1000V,5-INCH,72 CELL,10 MOD (1507-214)</t>
  </si>
  <si>
    <t>ASSY, TORQUE ARM, 1000V,5-INCH,72 CELL,10 MOD (1507-217)</t>
  </si>
  <si>
    <t>TORQUE ARM, 1000V,5-INCH,72 CELL,10 MOD (1507-218)</t>
  </si>
  <si>
    <t>NUT, HVYHX, M20-2.5, HDG, A563M 8S, ASME B18.2.4.6M (1507-219)</t>
  </si>
  <si>
    <t>BOLT, HVYHX, M20-2.5 X 115MM, HDG, A-325M, ASME B18.2.3.7M (1507-220)</t>
  </si>
  <si>
    <t>BOLT, HVYHX, M20-2.5 X 150MM, HDG, A-325M, ASME B18.2.3.7M (1507-221)</t>
  </si>
  <si>
    <t>WASHER, LOCK, SPLIT, HVY, M20, HDG, ASME B18.21.2M (1507-222)</t>
  </si>
  <si>
    <t>ASSY, DRIVE STRUT,1000V,5-INCH,72 CELL,10 MOD,PIPE (1507-224)</t>
  </si>
  <si>
    <t>DRIVE STRUT, 1000V,5-INCH,72 CELL,10 MOD, PIPE (1507-225)</t>
  </si>
  <si>
    <t>ASSY, DRIVE UNIT, 1000V,5-INCH,72 CELL,10 MOD,WEST (1507-226)</t>
  </si>
  <si>
    <t>WELDMENT, DRIVE PEDESTAL, 1000V,5-IN,72 C,10 MOD (1507-227)</t>
  </si>
  <si>
    <t>ASSY, CABLE, JUMPER, MC, 35', 6MM SQ,1000V,DBL INS (1507-228)</t>
  </si>
  <si>
    <t>ENCLOSURE, PULL BOX, SCREW COVER, 8.0 X 6.0 X 3.0 (1507-231)</t>
  </si>
  <si>
    <t>COVER, PULL BOX, 8.0 X 6.0 (1507-232)</t>
  </si>
  <si>
    <t>CELL, QCELLS, MONO, 156MM, Q6LM, 16.6, 3.92 Wp (1506-727)</t>
  </si>
  <si>
    <t>PEDESTAL, BEARING, 4.5" OD X 3/8", 18' LONG (1506-728)</t>
  </si>
  <si>
    <t>CELL, QCELLS, MONO, 156MM, Q6LM, 16.8, 3.97 Wp (1506-729)</t>
  </si>
  <si>
    <t>CELL, QCELLS, MONO, 156MM, Q6LM/1620-220, 3.83 Wp (1506-730)</t>
  </si>
  <si>
    <t>ASSY, TORQUE TUBE, 11 MOD SUNP, GPT-20 (1506-734)</t>
  </si>
  <si>
    <t>PVM, FR, POWE PL-225-QM-I, 225W, IEC, 2.2 M JUMPER, W/CT (1506-736)</t>
  </si>
  <si>
    <t>PVM, FR, POWE PL-220-QM-I, 220W, IEC, W/MC (1506-737)</t>
  </si>
  <si>
    <t>PVM, FR, POWE PL-210-QM-I, 210W, IEC, W/MC (1506-739)</t>
  </si>
  <si>
    <t>BRACKET, REF CELL, TRACKER (1506-741)</t>
  </si>
  <si>
    <t>ASSY, KIT, GFDI, PV100S; 1-153168-01 (1506-742)</t>
  </si>
  <si>
    <t>ASSY, KIT, GFDI, PV225S; 1-153169-01 (1506-743)</t>
  </si>
  <si>
    <t>WASHER, LOCK, SPLIT, 3/4, HDG, F436 (1506-750)</t>
  </si>
  <si>
    <t>SPACER, STACKING, PIPE, GPT-20 (1506-751)</t>
  </si>
  <si>
    <t>BLOCK, STACKING, PINE, TRUE 1 X 12 X 11L (1506-752)</t>
  </si>
  <si>
    <t>NAMEPLATE, GPT-20 (1506-753)</t>
  </si>
  <si>
    <t>NUT, HEX, 5/16-18, 18-8SS (1506-754)</t>
  </si>
  <si>
    <t>BLOCK, STACKING, PINE, BOTTOM (1506-755)</t>
  </si>
  <si>
    <t>ASSY, KIT, BRACKET, REF CELL, TRACKER (1506-756)</t>
  </si>
  <si>
    <t>CELL, QCELLS, MONO, 156MM, Q6LM/1580-200, 3.74 Wp (1506-757)</t>
  </si>
  <si>
    <t>CELL, QCELLS, MONO, 156MM, Q6LM/1580-220, 3.74 Wp (1506-758)</t>
  </si>
  <si>
    <t>CELL, QCELLS, MONO, Q6LM200/1580-200, 3.78 Wp (1506-759)</t>
  </si>
  <si>
    <t>CELL, QCELLS, MONO, 156MM, Q6LMG/1580-200, 3.74 Wp (1506-760)</t>
  </si>
  <si>
    <t>CELL, QCELLS, MONO, 156MM, Q6LMG/1600-200, 3.78 Wp (1506-761)</t>
  </si>
  <si>
    <t>CELL, QCELLS, MONO, Q6LM200/1600-200, 3.82 Wp (1506-762)</t>
  </si>
  <si>
    <t>WIPE, ISOPROPYL ALCOHOL, IPA, 91% MIN, SINGLE PKG (1506-763)</t>
  </si>
  <si>
    <t>PVM, UNFR, SHAR ND-U8E1DF, 208 WP, UL, W/MC (1506-765)</t>
  </si>
  <si>
    <t>PVM, FR, SUNT STP175S-24/Ab-1, 175WP, UL, W/MC (1506-771)</t>
  </si>
  <si>
    <t>KIT, THERMOCOUPLE, IPA, WIPE, 4 EACH (1506-773)</t>
  </si>
  <si>
    <t>ASSY, KIT, TRACKER, THERMOCOUPLE, HOSE (1506-775)</t>
  </si>
  <si>
    <t>TIE, CABLE, 1/8" W X 5.5" L, BLACK, UV RESIST, UL (1506-776)</t>
  </si>
  <si>
    <t>FLASHING, PENETRATION, SMART MOUNT, ONE-HOLE (1506-777)</t>
  </si>
  <si>
    <t>MOUNT, CABLE TIE, STAINLESS STEEL (1506-778)</t>
  </si>
  <si>
    <t>RIVET, BLIND, 1/8 X 1/2L, SS (1506-779)</t>
  </si>
  <si>
    <t>TIE, CABLE, 8" L X 0.18" WIDE, SS (1506-780)</t>
  </si>
  <si>
    <t>TIE, CABLE, 15"L X 3/16" WIDE, SS (1506-781)</t>
  </si>
  <si>
    <t>CABLE, TRACKER, CONTROLLER, LAPTOP, PLC, RS422 (1506-783)</t>
  </si>
  <si>
    <t>TAPE, SEALANT, BUTYL, 3" X 3" X 1/8" (1506-785)</t>
  </si>
  <si>
    <t>PLATE, SHIM, SMART MOUNT (1506-786)</t>
  </si>
  <si>
    <t>BOLT, HH, 3/4-10 X 6, 1-3/4 THRD, HDG, J429 GR5 (1506-787)</t>
  </si>
  <si>
    <t>WELDMENT, DRIVE PEDESTAL, GPT-20 (1506-795)</t>
  </si>
  <si>
    <t>STRUT TOP, TELESCOPING, 2 LEG, 12 MOD GPT-20 (1506-796)</t>
  </si>
  <si>
    <t>STRUT BOTTOM, TELESCOPING, 2 LEG, 12 MOD GPT-20 (1506-797)</t>
  </si>
  <si>
    <t>PLATE, BRG RETENTION, RECT., FOR 3/16" WALL,GPT-20 (1506-798)</t>
  </si>
  <si>
    <t>ASSY, TORQUE ARM, GPT-20 (1506-799)</t>
  </si>
  <si>
    <t>BRACKET, DRIVE STRUT TO LARGE HOSE, GPT-20 (1506-801)</t>
  </si>
  <si>
    <t>U-BOLT, RND, 3/8-16, 2-7/8" ID, 3-5/8 LG, 1" THRD, GALVY (1506-802)</t>
  </si>
  <si>
    <t>U-BOLT, RND, 3/8-16, 4.5" ID, 6" LG, 2.5" THRD, GALVY (1506-803)</t>
  </si>
  <si>
    <t>WASHER, SEALING, 3/8"", HOFFMAN (1506-804)</t>
  </si>
  <si>
    <t>ASSY, GPT-20, 12 MOD SUNP 210 UL (1506-805)</t>
  </si>
  <si>
    <t>ASSY, GPT-20, 12 MOD SUNT 175 UL (1506-806)</t>
  </si>
  <si>
    <t>ASSY, DRIVE PAD, WEST, GPT-20 (1506-808)</t>
  </si>
  <si>
    <t>PALLET, BASE, GPT-20 (1506-809)</t>
  </si>
  <si>
    <t>WASHER, SQUARE, 3/4", 4X4, PLAIN (1506-811)</t>
  </si>
  <si>
    <t>KIT, CASSETTE, 10 UNIT, 11 MOD, GPT-20 (1506-812)</t>
  </si>
  <si>
    <t>KIT, CASSETTE, 10 UNIT, 12 MOD, GPT-20 (1506-813)</t>
  </si>
  <si>
    <t>ASSY, GPT-20, 12 MOD SANY 190 BIFACIAL UL (1506-815)</t>
  </si>
  <si>
    <t>ASSY, GPT-20, 12 MOD SANY 200 BIFACIAL UL (1506-816)</t>
  </si>
  <si>
    <t>BOLT, ANCHOR, 3/8-16X3.75, HILTI KWIKBOLT3, 304SS (1506-818)</t>
  </si>
  <si>
    <t>METER, GLASS JAR, 2-WAY, CLASS 320, 6KYZ, RS485 (1506-819)</t>
  </si>
  <si>
    <t>METER, GLASS JAR, 2-WAY, CLASS 200, 6KYZ,RS485 (1506-820)</t>
  </si>
  <si>
    <t>METER, GLASS JAR, 2-WAY, FORM 9S,13TERM,6KYZ,RS485 (1506-821)</t>
  </si>
  <si>
    <t>KIT, CONVERSION, ELSTER, RS485 (1506-822)</t>
  </si>
  <si>
    <t>ASSY, DRIVE STRUT, 20' SCHED 40 PIPE, GPT-20 (1506-823)</t>
  </si>
  <si>
    <t>ASSY, DRIVE STRUT, 20' SQUARE TUBE, GPT-20 (1506-824)</t>
  </si>
  <si>
    <t>PIN, QK RELEASE, HVY DUTY RING-GRIP, 3/4 X 5 (1506-826)</t>
  </si>
  <si>
    <t>ROPE, BRAIDED NYLON, YELLOW, .058", 150 LB (1506-827)</t>
  </si>
  <si>
    <t>ROD, THREADED, 3/4-10 X 12", STEEL, HDG (1506-828)</t>
  </si>
  <si>
    <t>ASSY, DRIVE PAD, EAST, GPT-20 (1506-830)</t>
  </si>
  <si>
    <t>HOSE, EPDM, VALUFLEX, 1/2" ID X 18"L, BLACK (1506-831)</t>
  </si>
  <si>
    <t>ASSY, GPT-20, 12 MOD SUNP 200 UL (1506-832)</t>
  </si>
  <si>
    <t>ASSY, GPT-20, 12 MOD SUNP 220 UL (1506-833)</t>
  </si>
  <si>
    <t>ASSY, GPT-20, 12 MOD SUNP 230 UL (1506-834)</t>
  </si>
  <si>
    <t>INVERTER, XANTREX, GT-250-480, NEG GND (1506-835)</t>
  </si>
  <si>
    <t>INVERTER, XANTREX, GT-250-480, POS GND (1506-836)</t>
  </si>
  <si>
    <t>INVERTER, XANTREX, GT-100-480, NEG GND (1506-837)</t>
  </si>
  <si>
    <t>INVERTER, XANTREX, GT-100-480, POS GND (1506-838)</t>
  </si>
  <si>
    <t>INVERTER, XANTREX, GT-100-208, NEG GND (1506-839)</t>
  </si>
  <si>
    <t>INVERTER, XANTREX, GT-100-208, POS GND (1506-840)</t>
  </si>
  <si>
    <t>ASSY, GPT-20, 12 MOD SANY 186 BIFACIAL UL (1506-841)</t>
  </si>
  <si>
    <t>RIVET, BLIND, 1/8 X 3/8L, SS (1506-843)</t>
  </si>
  <si>
    <t>U-BOLT, SQ, 3/8-16, 3" SQ TUBE, 4" LG, GALVY (1506-844)</t>
  </si>
  <si>
    <t>RIVET, BLIND, 1/8 X 5/16L, SS (1506-845)</t>
  </si>
  <si>
    <t>WELDMENT, BRG PEDESTAL, 3/8" WALL, 40" LG (1506-846)</t>
  </si>
  <si>
    <t>ASSY, DRIVE UNIT, 1000V,5-INCH,72 CELL,10 MOD,EAST (1506-848)</t>
  </si>
  <si>
    <t>WASHER, LOCK, SPLIT, 3/8, HDG, MED CARB (1506-849)</t>
  </si>
  <si>
    <t>NUT, HEX, 3/8-16, HDG, A194 2H (1506-850)</t>
  </si>
  <si>
    <t>WASHER, FLAT, 3/8, HDG, F436 (1506-851)</t>
  </si>
  <si>
    <t>SCREW, CAP, HH, 3/8-16 X 1, HDG, GR 5 (1506-852)</t>
  </si>
  <si>
    <t>ASSY, DRIVE STRUT,1000V,5-INCH,72 CELL,10 MOD, SQ (1506-853)</t>
  </si>
  <si>
    <t>DRIVE STRUT, 1000V,5-INCH,72 CELL,10 MOD, SQ (1506-854)</t>
  </si>
  <si>
    <t>INVERTER, SOLECTRIA, PVI95KW, 480VAC,SS DISC &amp; ENCL (1506-856)</t>
  </si>
  <si>
    <t>ROD, THREADED, M20-2.5 X 350MM, ASTM F568M, CLASS 4.6, HDG, ASME B1.13M (1506-861)</t>
  </si>
  <si>
    <t>ROD, THREADED, M20-2.5 X 420MM, ASTM F568M, CLASS 4.6, HDG, ASME B1.13M (1506-862)</t>
  </si>
  <si>
    <t>ROD, THREADED, 3/4-10  X 14, ASTM A307, HDG (1506-863)</t>
  </si>
  <si>
    <t>ROD, THREADED, 3/4-10  X 16, ASTM A307, HDG (1506-864)</t>
  </si>
  <si>
    <t>ASSY, DRIVE STRUT, 20' RECT. TUBE, GPT-20 (1506-865)</t>
  </si>
  <si>
    <t>TOOL, INSTALL, TT SUPPORT ON FOUNDATION, T20 (1506-866)</t>
  </si>
  <si>
    <t>INVERTER, SMA, SC 500KW 880V, HI EFF, POS GND, MEMBER (1506-867)</t>
  </si>
  <si>
    <t>INVERTER, SMA, SC 500KW 880V, HI EFF, POS GND, MASTER (1506-868)</t>
  </si>
  <si>
    <t>INVERTER, SMA, SC 350KW 880V, HI EFF, POS GND, 125A FUSE (1506-869)</t>
  </si>
  <si>
    <t>INVERTER, SMA, SC 500KW 880V, HI EFF (1506-870)</t>
  </si>
  <si>
    <t>STRING BOX, SMA, SSB 8 INPUTS, 12A, MC4, W/ DC SWITCH (1506-871)</t>
  </si>
  <si>
    <t>TIE, CABLE, NYLON, 4.5" BNDL, .19 WIDE, BLK (1506-872)</t>
  </si>
  <si>
    <t>TIE, CABLE, NYLON, 1" BNDL, .19 WIDE, BLK (1506-873)</t>
  </si>
  <si>
    <t>ASSY, T20, V2.0, 10 MOD SUNP 210 UL (1506-874)</t>
  </si>
  <si>
    <t>U-BOLT, SQ, 3/8-16, 5" ID, 4" LG, 1-1/2" THRD, GALVY (1506-875)</t>
  </si>
  <si>
    <t>SPACER, SCREW SIZE #6, 1/4" OD X 3/4, AL (1506-876)</t>
  </si>
  <si>
    <t>SCREW, S-D, HWH, #6-20 X 1-1/4", #2 PT, 410SS (1506-877)</t>
  </si>
  <si>
    <t>TIE, CABLE, 7.4"L X 3/16" WIDE, HALAR (1506-878)</t>
  </si>
  <si>
    <t>TIE, CABLE, 11.6"L X 3/16" WIDE, HALAR (1506-879)</t>
  </si>
  <si>
    <t>TIE, CABLE, 8" L X 0.31" WIDE, SS (1506-880)</t>
  </si>
  <si>
    <t>TIE, CABLE, 14" L X 0.31" WIDE, SS (1506-881)</t>
  </si>
  <si>
    <t>BOLT, HVYHX, M20-2.5 X 120MM, HDG, A-325M, ASME B18.2.3.7M (1506-882)</t>
  </si>
  <si>
    <t>ASSY, CABLE, JUMPER, MC, 7 M, 4MM SQ,1000V,DBL INS (1506-883)</t>
  </si>
  <si>
    <t>NUT, HEX, M6 X 1, 18-8 SS, DIN 934 (1506-884)</t>
  </si>
  <si>
    <t>WASHER, LOCK, SPLIT, M6, 18-8 SS, DIN 127B (1506-885)</t>
  </si>
  <si>
    <t>U-BOLT, SQ, 3/8-16, 3" ID, 6" LG, 1-1/2" THRD, GALVY (1506-886)</t>
  </si>
  <si>
    <t>ASSY, CABLE, JUMPER, MC, 11.6 M, 4MM SQ,1000V,DBL INS (1506-887)</t>
  </si>
  <si>
    <t>ASSY, CABLE, JUMPER, MC, 5.7 M, 4MM SQ,1000V,DBL INS (1506-888)</t>
  </si>
  <si>
    <t>ASSY, CABLE, JUMPER, MC, 4 M, 4MM SQ,1000V,DBL INS (1506-889)</t>
  </si>
  <si>
    <t>ASSY, CABLE, JUMPER, MC, 8.3 M, 4MM SQ,1000V,DBL INS (1506-890)</t>
  </si>
  <si>
    <t>PIN, GROUNDING, PV SUPPORT STRUT, T20 (1506-891)</t>
  </si>
  <si>
    <t>SCREW, CAP, HH, M8 X 1.25 X 16, 18-8 SS, PATCH, SPEC 1506-281 (1506-892)</t>
  </si>
  <si>
    <t>NUT, HEX, SERRATED FLANGE, M8 X 1.25, 18-8 SS (1506-893)</t>
  </si>
  <si>
    <t>SCREW, CAP, HH, M6 X 1 X 16, 18-8 SS, PATCH, SPEC 1506-281 (1506-894)</t>
  </si>
  <si>
    <t>NUT, HEX, SERRATED FLANGE, M6 X 1, 18-8 SS, ISO 4161 (1506-895)</t>
  </si>
  <si>
    <t>HOSE, EPDM, VALUFLEX, 1" ID, BLACK, 36" LENGTH (1506-896)</t>
  </si>
  <si>
    <t>CONNECTOR, SOCKET, MC4, 12/10 AWG, 5.5-9MM CABLE GLAND, PV-KBT4/6II (32.0016)</t>
  </si>
  <si>
    <t>CONNECTOR, PIN, MC4, 12/10 AWG, 5.5-9MM CABLE GLAND, PV-KST4/6II (32.0017) (1506-899)</t>
  </si>
  <si>
    <t>CONNECTOR, SOCKET, QC SOLAR, 2.5-6 MM CABLE (1506-900)</t>
  </si>
  <si>
    <t>CONNECTOR, PIN, QC SOLAR, 2.5-6 MM CABLE (1506-901)</t>
  </si>
  <si>
    <t>ASSY, CABLE, JUMPER, MC4 PIN/MC4 SKT, 4MM SQ, DBL INS, 5.7M (1506-902)</t>
  </si>
  <si>
    <t>ASSY, CABLE, JUMPER, MC4 PIN/MC4 SKT, 4MM SQ, DBL INS, 4M (1506-903)</t>
  </si>
  <si>
    <t>ASSY, CABLE, JUMPER, MC4 PIN/MC4 SKT, 4MM SQ, DBL INS, 11.6M (1506-904)</t>
  </si>
  <si>
    <t>ASSY, CABLE, JUMPER, QCS PIN/MC4 SKT, 4MM SQ, DBL INS, 5.7M (1506-905)</t>
  </si>
  <si>
    <t>ASSY, CABLE, JUMPER, MC3 SKT/MC4 PIN, 4MM SQ, DBL INS, 8.3M (1506-906)</t>
  </si>
  <si>
    <t>ASSY, CABLE, JUMPER, QCS SKT/MC4 PIN, 4MM SQ, DBL INS, 5.7M (1506-907)</t>
  </si>
  <si>
    <t>ASSY, CABLE, JUMPER, MC3 SKT/MC4 PIN, 4MM SQ, DBL INS, 5.7M (1506-908)</t>
  </si>
  <si>
    <t>ASSY, CABLE, JUMPER, MC3 PIN/MC4 SKT, 4MM SQ, DBL INS, 5.7M (1506-909)</t>
  </si>
  <si>
    <t>WIRE, 4MM SQ, 1000 V, DOUBLE INS, SPEC 1507-396 (1506-910)</t>
  </si>
  <si>
    <t>SCREW, CAP, SH, M6 X 1 X 25, 18-8 SS, ANSI B18.3.1M, ASTM F837M (1506-911)</t>
  </si>
  <si>
    <t>SCREW, CAP, HH, M6 X 1 X 30, 18-8 SS, DIN 933 (1506-912)</t>
  </si>
  <si>
    <t>WASHER, FLAT, M6, 6.7MM ID, 25.5MM OD, 2MM THK, SS, ANSI B18.22M (1506-913)</t>
  </si>
  <si>
    <t>WASHER, LOCK, SPLIT, M12, 18-8 SS, DIN 127B (1506-914)</t>
  </si>
  <si>
    <t>NUT, CHANNEL, W/ SPRING, FOR P1000, M12X1.75, SS (1506-915)</t>
  </si>
  <si>
    <t>CHANNEL, STRUT, 1-5/8", P1000, HDG, SLOTTED, 40", ENDS ZRC (1506-916)</t>
  </si>
  <si>
    <t>SCREW, CAP, HH, M12 X 1.75 X 40, 18-8 SS, DIN 933 (1506-917)</t>
  </si>
  <si>
    <t>WASHER, LOCK, EXT. TOOTH, M6, SS, DIN 6797 (1506-918)</t>
  </si>
  <si>
    <t>KIT, SQUARE KEY &amp; DOOR LATCH, PLC CONTROLLER (1506-919)</t>
  </si>
  <si>
    <t>ASSY, T20, V2.1, SPR-230 W/ CT, UL, 10 MODS (1506-920-01)</t>
  </si>
  <si>
    <t>ASSY, T20, V2.1, SPR-217 W/ CT, UL, 10 MODS (1506-920-02)</t>
  </si>
  <si>
    <t>ADAPTER, SLOT, 1-5/8" UNISTRUT CHANNEL, 1/4" HOLE, SS (1506-923)</t>
  </si>
  <si>
    <t>SPACER, CLIP, PWRROOF (1506-972)</t>
  </si>
  <si>
    <t>ASSY, SMART MOUNT, PERIMETER (1506-974)</t>
  </si>
  <si>
    <t>ASSY, TORQUE TUBE, 12 MOD SUNP &amp; SUNT, GPT-20 (1506-977)</t>
  </si>
  <si>
    <t>TORQUE TUBE, 12 MOD SUNP, GPT-20 (1506-978)</t>
  </si>
  <si>
    <t>OPTION, DC SWITCH FOR 16-STRING BOX, 125A, SMA (1506-979)</t>
  </si>
  <si>
    <t>BOLT, HH, 3/4-10 X 4.75, 1-3/4 THRD, HDG, J429 GR5 (1506-980)</t>
  </si>
  <si>
    <t>OPTION, INGETEAM COM CARD, RS-485 (1506-982)</t>
  </si>
  <si>
    <t>SCREW, S-D, S-T,HH, #14-14 X 2 1/2", 410 SS (1506-987)</t>
  </si>
  <si>
    <t>SCREW, S-D, S-T,HH, #14-14 X 52mm (2.0"), SS (1506-988)</t>
  </si>
  <si>
    <t>ASSY, TILE, SHAR ND-U8E1DF, 208WP, RW (1506-989)</t>
  </si>
  <si>
    <t>STRUT, HARD STOP, SUNP 215, GPT-20 (1506-993)</t>
  </si>
  <si>
    <t>CELL, JINGAO, MONO, 125MM, TYPE A, 2.50 Wp (1506-994)</t>
  </si>
  <si>
    <t>CELL, JINGAO, MONO, 125MM, TYPE B, 2.25 Wp (1506-995)</t>
  </si>
  <si>
    <t>STRUT, HARD STOP, SUNT 175, GPT-20 (1506-998)</t>
  </si>
  <si>
    <t>STRUT, HARD STOP, SANY 195, GPT-20 (1506-999)</t>
  </si>
  <si>
    <t>ASSY, GPT-20, 12 MOD SANY 195 BIFACIAL UL (1507-011)</t>
  </si>
  <si>
    <t>ASSY, TORQUE TUBE, 12 MOD SANY, GPT-20 (1507-012)</t>
  </si>
  <si>
    <t>ASSY, CABLE, CAT_5, 300V (1507-013)</t>
  </si>
  <si>
    <t>SHIM, EPDM, 2" X 3", SUNTILE (1507-015)</t>
  </si>
  <si>
    <t>INVERTER, AE, 333kW, 60HZ, BI-POLAR, GFI (1507-016)</t>
  </si>
  <si>
    <t>SCREW, HH 9-15 X 2" HWH TRUE GRIP GT W/BD, BLDEX (1507-022)</t>
  </si>
  <si>
    <t>PVM, FR, SHAR, 184 WP, UL, W/MC (1507-023)</t>
  </si>
  <si>
    <t>SCREW,SM,ST,PH,TX,#10 X 3/4,18-8SS,SER HD, BLK OX (1507-024)</t>
  </si>
  <si>
    <t>SCREW, S-T, HWH, #10-32 X 1/2, SS (1507-026)</t>
  </si>
  <si>
    <t>SCREW, SM, S-T, HWH, # 10 X .50", 18-8SS (1507-027)</t>
  </si>
  <si>
    <t>LABEL,"CAUTION,PV SYSTEM BRKR", 3" X 1.5", SUNTILE (1507-028)</t>
  </si>
  <si>
    <t>SPACER, ARRAY EDGE, EVERGREEN, POWERTILT10 (1507-030)</t>
  </si>
  <si>
    <t>SPACER, ARRAY EDGE, UNIVERSAL (1507-031)</t>
  </si>
  <si>
    <t>TRAY, ROW END HOSE, GPT-20 (1507-032)</t>
  </si>
  <si>
    <t>HOSE, LIQUATITE CORRLOK TYPE CLR-350, 3-1/2" (1507-033)</t>
  </si>
  <si>
    <t>ASSY, INVERTER, SIEMENS, SINVERT 100, W/COMM SERVICE (1507-503-02)</t>
  </si>
  <si>
    <t>ASSY, INVERTER, SIEMENS, SINVERT 100, POS GRND (1507-503-03)</t>
  </si>
  <si>
    <t>ASSY, INVERTER, SIEMENS, SINVERT 100, POS GRND, W/COMM SERVICE (1507-503-04)</t>
  </si>
  <si>
    <t>ASSY, INVERTER, SIEMENS, SINVERT 100, NEG GRND (1507-503-05)</t>
  </si>
  <si>
    <t>ASSY, INVERTER, SIEMENS, SINVERT 100, NEG GRND, W/COMM SERVICE (1507-503-06)</t>
  </si>
  <si>
    <t>BRACKET, WIRETRAY SUPPORT, T20 V2.1 (1507-504)</t>
  </si>
  <si>
    <t>BRACKET, COMBINER BOX SUPPORT, T20 V2.1 (1507-505)</t>
  </si>
  <si>
    <t>U-BOLT, RND, M12, 80 MM ID, 115 MM LG, 60 MM THRD, GALVY (1507-506)</t>
  </si>
  <si>
    <t>NUT, HVYHX, M12-1.75, HDG, A563M 8S, ASME B18.2.4.6M (1507-507)</t>
  </si>
  <si>
    <t>WASHER, LOCK, SPLIT, HVY, M12, HDG, ASME B18.21.2M (1507-508)</t>
  </si>
  <si>
    <t>SCREW, HH, M20-2.5 X 65MM, SS, DIN 933 (1507-520)</t>
  </si>
  <si>
    <t>SCREW, HH, M20-2.5 X 40MM, SS, DIN 933 (1507-521)</t>
  </si>
  <si>
    <t>SCREW, HH, M10-1.5 X 30MM, SS, DIN 933 (1507-522)</t>
  </si>
  <si>
    <t>WASHER, FLAT, M20, 21MM ID, 37MM OD, 2.7-3.3 THK, DIN 125 (1507-523)</t>
  </si>
  <si>
    <t>NUT, HEX, THIN, M20-2.5, 10MM H, SS, DIN 439B (1507-524)</t>
  </si>
  <si>
    <t>NUT, HEX, THIN, M10-1.5, 5MM H, SS, DIN 439B (1507-525)</t>
  </si>
  <si>
    <t>BAR, LIFTING, T20, V2.1 (1507-526)</t>
  </si>
  <si>
    <t>SIGN, AL, "CAUTION: SOLAR ELECTRIC CONNECTED", 2.5"3.5" (1507-533)</t>
  </si>
  <si>
    <t>LABEL, "CAUTION: SOLAR ELECTRIC CONNECTED", 2.5" X 3.5" (1507-534)</t>
  </si>
  <si>
    <t>LABEL, "CAUTION: SOLAR CIRCUIT", 6.50" X 3.35" (1507-535)</t>
  </si>
  <si>
    <t>LABEL, "DO NOT REMOVE, SOLAR SYSTEM CABLE", 3.0" X 5.0" (1507-536)</t>
  </si>
  <si>
    <t>LABEL, "SOLAR ELECTRIC MONITORING", 2.0" X 3.0" (1507-537)</t>
  </si>
  <si>
    <t>PVM, FR, POWE PL-235-QP-I, 235W, IEC, 2.2 M JUMPER, W/CT (1507-538)</t>
  </si>
  <si>
    <t>SIGN, AL, "SUNPOWER POWERGUARD", PUNCHED 5" X 14" (OBSOLETE SEE - 1508-436) (1507-539)</t>
  </si>
  <si>
    <t>SIGN, AL, "SUNPOWER T10 SOLAR ROOF TILE", PUNCHED 5" X 14" (1507-540)</t>
  </si>
  <si>
    <t>SIGN, AL, "WARNING", PUNCHED 3" X 6" (1507-541)</t>
  </si>
  <si>
    <t>PVM, FR, SOLA SSI-230-QM-I, 230W, IEC, W/T (1507-546)</t>
  </si>
  <si>
    <t>PVM, FR, SOLA SSI-235-QM-I, 235W, IEC, W/T (1507-547)</t>
  </si>
  <si>
    <t>ASSY, SKID, SHIPPING, T20 V2.1 (1507-549)</t>
  </si>
  <si>
    <t>ASSY, CASSETTE, SHIPPING, ST260/270, T20 V2.1 (1507-550)</t>
  </si>
  <si>
    <t>BOLT, HVYHX, M14-2.0 X 140MM, HDG, A-325M, ASME B18.2.3.7M (1507-554)</t>
  </si>
  <si>
    <t>WASHER, LOCK, SPLIT, HVY, M14, HDG, ASME B18.21.2M (1507-555)</t>
  </si>
  <si>
    <t>NUT, HVYHX, M14-2.0, HDG, A563M8S, ASME B18.2.4.6M (1507-556)</t>
  </si>
  <si>
    <t>ASSY, SKID, W/ ADD-ON, SHIPPING, T20 V2.1 (1507-557)</t>
  </si>
  <si>
    <t>ASSY, CASSETTE, SHIPPING, YL210, T20 V2.1 (1507-558)</t>
  </si>
  <si>
    <t>ASSY, CASSETTE, SHIPPING, SP210/225, T20 V2.1 (1507-559)</t>
  </si>
  <si>
    <t>SPACER, ARRAY EDGE, ASE 280, T10 (1507-563)</t>
  </si>
  <si>
    <t>TWINE, POLYPROPYLENE, .24" OD, 599LBS, 1700FT (1507-567)</t>
  </si>
  <si>
    <t>STRAP, LIFTING, 4000LB WLL, 4FT (1507-568)</t>
  </si>
  <si>
    <t>STRAP, TIE-DOWN, 2"W, 4000LB WLL, 27FT, W/HOOK (1507-569)</t>
  </si>
  <si>
    <t>HOOK, LIFTING, 5200LB WLL (1507-570)</t>
  </si>
  <si>
    <t>NUT, HEX, M10-1.5, ZN, DIN 934 (1507-571)</t>
  </si>
  <si>
    <t>NUT, HEX, M20-2.5, ZN, DIN 934 (1507-572)</t>
  </si>
  <si>
    <t>WASHER, FLAT, M20, ZN, DIN 125 (1507-573)</t>
  </si>
  <si>
    <t>WASHER, LOCK, SPLIT, M10, ZN, DIN 127B (1507-574)</t>
  </si>
  <si>
    <t>WASHER, LOCK, SPLIT, M20, ZN, DIN 127B (1507-575)</t>
  </si>
  <si>
    <t>SCREW, CAP, HH, M10-1.5 X 140MM, ZN (1507-576)</t>
  </si>
  <si>
    <t>SCREW, CAP, HH, M20-2.5 X 150MM, ZN (1507-577)</t>
  </si>
  <si>
    <t>SCREW, CAP, HH, M20-2.5 X 200MM, ZN (1507-578)</t>
  </si>
  <si>
    <t>PIN, QUICK RELEASE, 3/4" OD, 5" L, ZN (1507-579)</t>
  </si>
  <si>
    <t>SIGN, AL, "WARNING, DO NOT OPERATE UNDER LOAD", 3" X 6" (1507-587)</t>
  </si>
  <si>
    <t>SIGN, AL, "PV ARRY DC DISCONNECT, MAX 100A", 4" X 6" (1507-588)</t>
  </si>
  <si>
    <t>SIGN, AL, "PV ARRY DC DISCONNECT, MAX 200A", 4" X 6" (1507-589)</t>
  </si>
  <si>
    <t>SIGN, AL, "PV ARRY DC DISCONNECT, MAX 400A", 4" X 6" (1507-590)</t>
  </si>
  <si>
    <t>SIGN, AL, "PV ARRY DC DISCONNECT, MAX 600A", 4" X 6" (1507-591)</t>
  </si>
  <si>
    <t>SUPPORT, LEG, SHIPPING, T20 V2.1 (1507-593)</t>
  </si>
  <si>
    <t>WELDMENT, BRG PEDESTAL, 1/4" WALL, 40" LG (1507-621)</t>
  </si>
  <si>
    <t>NAMEPLATE, T20, V2.1 (1507-624)</t>
  </si>
  <si>
    <t>FITTING, LIQUID-TIGHT, .47" NPT (1507-626)</t>
  </si>
  <si>
    <t>ASSY, POLARIZATION PREVENTION, CLIP-ON, MC4 PIN, BLK (1507-627)</t>
  </si>
  <si>
    <t>ASSY, STRUT, PV SUPPORT, YL 210B, T20, V2.1 (1507-628)</t>
  </si>
  <si>
    <t>ASSY, T20, V2.1, YL210B (1507-629)</t>
  </si>
  <si>
    <t>CONNECTOR,  ALLIGATOR CLIP, 50 AMP, HOFFMAN T641CPB (1507-630)</t>
  </si>
  <si>
    <t>INVERTER, SMA, SC 100KW 900V (1507-631)</t>
  </si>
  <si>
    <t>INVERTER, SMA, SC 100KW 900V, POS GND (1507-632)</t>
  </si>
  <si>
    <t>STRING MONITORING BOX, SMA, SSM 8 INPUTS, 16A, MC4, W/DC SWITCH (1507-633)</t>
  </si>
  <si>
    <t>STRING MONITORING BOX, SMA, SSM 16 INPUTS, 20A, MC4, W/DC SWITCH (1507-634)</t>
  </si>
  <si>
    <t>ASSY, POLARIZATION PREVENTION, CLIP-ON, MC3 PIN, BLK (1507-645)</t>
  </si>
  <si>
    <t>ASSY, POLARIZATION PREVENTION, CLIP-ON, MC3 SOCKET, BLUE (1507-647)</t>
  </si>
  <si>
    <t>FOUNDATION, SOUTH, T20, V2.1, 929KG (1507-648)</t>
  </si>
  <si>
    <t>FOUNDATION, NORTH, T20, V2.1, 2157KG (1507-649)</t>
  </si>
  <si>
    <t>END CAP, TUBE, SUNPOWER, T-0 (1507-658)</t>
  </si>
  <si>
    <t>CAP, WELDED RETROFIT, TT/TA, T0 TRACKER (1507-663)</t>
  </si>
  <si>
    <t>ASSY, TILE, SANY HIP-190CA9, 190WP, UL (1507-669)</t>
  </si>
  <si>
    <t>PVM, UNFR, SANY HIP-190CA9, 190 WP, UL, W/MC3 (1507-670)</t>
  </si>
  <si>
    <t>ASSY, TILE, SANY HIP-175CA9, 175WP, UL (1507-671)</t>
  </si>
  <si>
    <t>PVM, UNFR, SANY HIP-175CA9, 175 WP, UL, W/MC3 (1507-672)</t>
  </si>
  <si>
    <t>WELDMENT, TRUSS, TEST FIXTURE, TORQUE TUBE, T0 (1507-674)</t>
  </si>
  <si>
    <t>CONNECTOR, USB TO SERIAL ON PLC, FX-USB-AW (1507-676)</t>
  </si>
  <si>
    <t>WASHER, FLAT, .26 - .29" ID, .86 - .88" OD, .66 - .73" THK, 18-8/304 SS (1507-677)</t>
  </si>
  <si>
    <t>CONNECTOR, TYCO, FEMALE, PLUS KEYED, 4MM SQ, 4-1394462-8</t>
  </si>
  <si>
    <t>CONNECTOR, TYCO, FEMALE, MINUS KEYED, 4MM SQ, 1394462-4 (1507-679)</t>
  </si>
  <si>
    <t>ASSY, CABLE, JUMPER, TYCO F PLUS/MC3 SKT, USE-2 12AWG, 5.70M (1507-680)</t>
  </si>
  <si>
    <t>ASSY, CABLE, JUMPER, TYCO F MINUS/MC3 PIN, USE-2 12AWG, 8.30M (1507-681)</t>
  </si>
  <si>
    <t>ASSY, CABLE, JUMPER, TYCO F MINUS/TYCO F PLUS, DUAL RATED, 1.00M (1507-682)</t>
  </si>
  <si>
    <t>ASSY, CABLE, JUMPER, TYCO F MINUS/TYCO F PLUS, DUAL RATED, 1.25M (1507-683)</t>
  </si>
  <si>
    <t>CONNECTOR, TYCO, FEMALE, PLUS KEYED, 2.5MM SQ (1507-688)</t>
  </si>
  <si>
    <t>CONNECTOR, TYCO, FEMALE, MINUS KEYED, 2.5MM SQ (1507-689)</t>
  </si>
  <si>
    <t>CHANNEL, STRUT, 1-5/8", P1000T, HDG, SLOTTED, 20' (1507-690)</t>
  </si>
  <si>
    <t>TIE, CABLE, 7" L X .18 W,  2" BNDL DIA, NYLON 12, BLK (1507-691)</t>
  </si>
  <si>
    <t>MOUNT, PUSH, CABLE TIE, FIR TREE, 1/4" (1507-692)</t>
  </si>
  <si>
    <t>EDGE CLIP, CABLE, STAINLESS (1507-693)</t>
  </si>
  <si>
    <t>SCREW, HH, 8-32 X 1/2", "S-T" TYPE 'F', 410 SS (1507-694)</t>
  </si>
  <si>
    <t>SCREW, HH, 10-24 X 1/2", "S-T" TYPE 'F', 410 SS (1507-695)</t>
  </si>
  <si>
    <t>Monitoring Item, SPR-PMR-ACC, SPRm External Mount Accessory Kit (1507-699)</t>
  </si>
  <si>
    <t>Monitoring Item, SPR-PMR-ENC, SPRm External Mount Box (1507-698)</t>
  </si>
  <si>
    <t>ASSY, PG TILE, TONGUE, MARKETING SAMPLE, SUNP (1507-700)</t>
  </si>
  <si>
    <t>ASSY, BBD, TONGUE, MARKETING SAMPLE, PG TILE, SUNP (1507-701)</t>
  </si>
  <si>
    <t>BBD, FOAM, TONGUE, MARKETING SAMPLE, PG TILE, SUNP (1507-702)</t>
  </si>
  <si>
    <t>PV, MARKETING SAMPLE, 1 CELL, 6" X 6", SUNP (1507-703)</t>
  </si>
  <si>
    <t>LABEL, MARKETING SAMPLE, PG TILE, SUNP (1507-704)</t>
  </si>
  <si>
    <t>SPACER, FOAM, MARKETING SAMPLE, PG TILE, SUNP (1507-705)</t>
  </si>
  <si>
    <t>WIRE ROPE, INTERCONNECT, SUNP 96 CELL, T10 (1507-707)</t>
  </si>
  <si>
    <t>WIRE ROPE, INTERCONNECT, NORTH SUNP 96 CELL, T10 (1507-708)</t>
  </si>
  <si>
    <t>INVERTER, SMA, SC 100KW 900V, SOFT POS GND (1507-709)</t>
  </si>
  <si>
    <t>PVM, FR, YING YL230 (156), 230WP, IEC, W/QC (1507-710)</t>
  </si>
  <si>
    <t>CURB, ASSEMBLY, INNIE, UNIVERSAL, POWERGUARD (1507-711)</t>
  </si>
  <si>
    <t>ADAPTER, QUICK CONNECT, SNAP IN, TERMINATOR, 3/4" (1507-233)</t>
  </si>
  <si>
    <t>TUBING, ENT CONDUIT, 3/4", 100 FT (1507-234)</t>
  </si>
  <si>
    <t>CONNECTOR, PIN, 6MM SQ, 1000V, DBL INS (1507-237)</t>
  </si>
  <si>
    <t>CONNECTOR, SOCKET, 6MM SQ, 1000V, DBL INS (1507-238)</t>
  </si>
  <si>
    <t>HOSE, EPDM, VALUFLEX, 3/4" ID, BLACK, 36" LENGTH (1507-244)</t>
  </si>
  <si>
    <t>SIGN, AL, "WARNING, BIPOLAR PV ARRAY", 3" X 6" (1507-245)</t>
  </si>
  <si>
    <t>CONDUIT, FLEX, 1/2", 100 FT (1507-248)</t>
  </si>
  <si>
    <t>CLIP, TRACKER, BASE, ROUND TT (1507-249)</t>
  </si>
  <si>
    <t>BEARING, INSERT, TRACKER, ROUND TT (1507-250)</t>
  </si>
  <si>
    <t>HOUSING, BEARING, TRACKER, ROUND TT (1507-251)</t>
  </si>
  <si>
    <t>PVM, FR, SUNT STP170S-24/Ab-1, 170WP, UL, W/MC (1507-253)</t>
  </si>
  <si>
    <t>ASSY, FLEX CONDUIT , STRND WIRE , THHN, 10AWG (1507-263)</t>
  </si>
  <si>
    <t>DRIVE STRUT, 20' RECTANGULAR TUBE, GPT-20 (1507-265)</t>
  </si>
  <si>
    <t>CLIP, TRACKER, BASE, SADDLE, ROUND TT (1507-266)</t>
  </si>
  <si>
    <t>ASSY, SUPPORT, MAIN, UNIVERSAL, T10 METRIC (1507-270)</t>
  </si>
  <si>
    <t>ASSY, SUPPORT, NORTH, UNIVERSAL, T10 METRIC (1507-271)</t>
  </si>
  <si>
    <t>ASSY, SUPPORT, SOUTH, UNIVERSAL, T10 METRIC (1507-272)</t>
  </si>
  <si>
    <t>ASSY, GPT-20, 12 MOD SUNP 210 UL, BLEMISH (1507-273)</t>
  </si>
  <si>
    <t>ASSY, GPT-20, 12 MOD SUNP 200 UL, BLEMISH (1507-274)</t>
  </si>
  <si>
    <t>ASSY, GPT-20, 12 MOD SUNT 170 UL (1507-275)</t>
  </si>
  <si>
    <t>ASSY, CABLE, DB9_M_DB9_F, 10" (1507-276)</t>
  </si>
  <si>
    <t>SUPPORT, MAIN, UNIVERSAL, T10 METRIC (1507-278)</t>
  </si>
  <si>
    <t>SUPPORT, NORTH, UNIVERSAL, T10 METRIC (1507-279)</t>
  </si>
  <si>
    <t>SUPPORT, SOUTH, UNIVERSAL, T10 METRIC (1507-280)</t>
  </si>
  <si>
    <t>LABEL, SHIPPING CARTON, SMART MOUNT, UNIVESAL (1507-281)</t>
  </si>
  <si>
    <t>SIGN, AL, "CB A4", 1.5" X 6" (1507-282)</t>
  </si>
  <si>
    <t>LATCH, SPRING, SUNTILE II (1507-284)</t>
  </si>
  <si>
    <t>RAIL, INSERT, SUNTILE II, ALUMINUM (1507-285)</t>
  </si>
  <si>
    <t>DETENT, SPRING, SUNTILE II (1507-286)</t>
  </si>
  <si>
    <t>SIGN, AL, "CB B4", 1.5" X 6" (1507-287)</t>
  </si>
  <si>
    <t>SIGN, AL, "CB B5", 1.5" X 6" (1507-288)</t>
  </si>
  <si>
    <t>SIGN, AL, "CB B6", 1.5" X 6" (1507-289)</t>
  </si>
  <si>
    <t>SIGN, AL, "CB B7", 1.5" X 6" (1507-290)</t>
  </si>
  <si>
    <t>SIGN, AL, "CB B8", 1.5" X 6" (1507-291)</t>
  </si>
  <si>
    <t>SIGN, AL, "CB D1", 1.5" X 6" (1507-292)</t>
  </si>
  <si>
    <t>SIGN, AL, "WARNING, DC SWITCH #4", 3" X 6" (1507-293)</t>
  </si>
  <si>
    <t>SIGN, AL, "CB A5", 1.5" X 6" (1507-295)</t>
  </si>
  <si>
    <t>SIGN, AL, "CB A6", 1.5" X 6" (1507-296)</t>
  </si>
  <si>
    <t>SIGN, AL, "CB D2", 1.5" X 6" (1507-298)</t>
  </si>
  <si>
    <t>SIGN, AL, "CB D3", 1.5" X 6" (1507-299)</t>
  </si>
  <si>
    <t>SIGN, AL, "CB D4", 1.5" X 6" (1507-300)</t>
  </si>
  <si>
    <t>SIGN, AL, "CB D5", 1.5" X 6" (1507-301)</t>
  </si>
  <si>
    <t>SIGN, AL, "CB D6", 1.5" X 6" (1507-302)</t>
  </si>
  <si>
    <t>SIGN, AL, "CB C4", 1.5" X 6" (1507-303)</t>
  </si>
  <si>
    <t>SIGN, AL, "CB C5", 1.5" X 6" (1507-304)</t>
  </si>
  <si>
    <t>SIGN, AL, "CB C6", 1.5" X 6" (1507-305)</t>
  </si>
  <si>
    <t>SIGN, AL, "CB E1", 1.5" X 6" (1507-306)</t>
  </si>
  <si>
    <t>SIGN, AL, "CB E2", 1.5" X 6" (1507-307)</t>
  </si>
  <si>
    <t>SIGN, AL, "CB E3", 1.5" X 6" (1507-308)</t>
  </si>
  <si>
    <t>SIGN, AL, "CB E4", 1.5" X 6" (1507-309)</t>
  </si>
  <si>
    <t>SIGN, AL, "CB E5", 1.5" X 6" (1507-310)</t>
  </si>
  <si>
    <t>SIGN, AL, "CB E6", 1.5" X 6" (1507-311)</t>
  </si>
  <si>
    <t>ENCLOSURE, TOROID CAP, IRRADIANCE SENSOR, SMART MODULE (1507-312)</t>
  </si>
  <si>
    <t>COVER, CASE, SMART MONITOR, COLLECTOR (1507-314)</t>
  </si>
  <si>
    <t>COVER, CASE, SMART MONITOR, GATEWAY (1507-315)</t>
  </si>
  <si>
    <t>BASE, CASE, SMART MONITOR, GATEWAY (1507-316)</t>
  </si>
  <si>
    <t>BASE, CASE, SMART MONITOR, COLLECTOR (1507-317)</t>
  </si>
  <si>
    <t>NUT, FLANGE, M6X1.0, SERRATED, SPEC ASTM F836M (1507-318)</t>
  </si>
  <si>
    <t>BOLT, HH, M6X1.0 X 50, W/PATCH, SPEC 1506-281 (1507-319)</t>
  </si>
  <si>
    <t>INVERTER, SMA, SC 350KW 880V, HI EFF, POS GND, 125A FUSE, MASTER (1507-322)</t>
  </si>
  <si>
    <t>INVERTER, SMA, SC 350KW 880V, HI EFF, POS GND, 125A FUSE, MEMBER (1507-323)</t>
  </si>
  <si>
    <t>INVERTER, SMA, SC 350KW 880V, HI EFF, 80A FUSE (1507-324)</t>
  </si>
  <si>
    <t>INVERTER, SMA, SC 250KW 880V, HI EFF, 80A FUSE (1507-325)</t>
  </si>
  <si>
    <t>BOX, COMM, SMA, FIBER, CAT-5, 8 PORT SWITCH (1507-326)</t>
  </si>
  <si>
    <t>OPTION, SUNNY TEAM FOR SMA SC350HE (1507-327)</t>
  </si>
  <si>
    <t>CLIP, CABLE, ACME (1507-336)</t>
  </si>
  <si>
    <t>CLAMP, HOSE, WORM DRIVE, 5/16" WIDE, 1 7/16" ID, 301 SS (1507-337)</t>
  </si>
  <si>
    <t>ASSY, TILE, SUNP SPR-215-WHT, 215 WP, UL (1507-340)</t>
  </si>
  <si>
    <t>ASSY, POWERGUARD TILE, UL CERT, SUNP, SPR-215L-WHT, 215 WP (1507-341)</t>
  </si>
  <si>
    <t>BRANCH CONNECTOR, SOCKET, 3 MM (1507-343)</t>
  </si>
  <si>
    <t>BRANCH CONNECTOR, PLUG, 3 MM (1507-344)</t>
  </si>
  <si>
    <t>ASSY, CLIP, RAIL, GROUNDING, METRIC (1507-356)</t>
  </si>
  <si>
    <t>ANGLE, BEARING RETENTION, T20, V2.1 (1507-357)</t>
  </si>
  <si>
    <t>ASSY, STRUT, PV SUPPORT, T20, V2.1 (1507-358)</t>
  </si>
  <si>
    <t>TORQUE ARM, T20, V2.1 (1507-359)</t>
  </si>
  <si>
    <t>TORQUE TUBE, T20, V2.1, LENGTH A (1507-360)</t>
  </si>
  <si>
    <t>BEARING, INSERT, T20, V2.1 (1507-361)</t>
  </si>
  <si>
    <t>HOUSING, BEARING INSERT, T20, V2.1 (1507-362)</t>
  </si>
  <si>
    <t>BEARING SHELL, UPPER, T20, V2.1 (1507-363)</t>
  </si>
  <si>
    <t>BAR, LOWER, PV ATTACH, METRIC, T-20 (1507-364)</t>
  </si>
  <si>
    <t>FOOT, NORTH, CHANNEL, SWIVEL, METRIC, T20, V2.1 (1507-365)</t>
  </si>
  <si>
    <t>REAR COLUMN, TOP, T20, V2.1 (1507-366)</t>
  </si>
  <si>
    <t>REAR COLUMN, BOTTOM, T20, V2.1 (1507-367)</t>
  </si>
  <si>
    <t>ASSY, TORQUE TUBE, T20, V2.1, CONFIG B (1507-368)</t>
  </si>
  <si>
    <t>TORQUE TUBE, T20, V2.1, LENGTH B (1507-369)</t>
  </si>
  <si>
    <t>ASSY, TORQUE ARM, T20, V2.1 (1507-370)</t>
  </si>
  <si>
    <t>ASSY, TORQUE TUBE, T20, V2.1, CONFIG A (1507-371)</t>
  </si>
  <si>
    <t>ASSY, T20, V2.1, STP260-24/Vb, 3-BUSBAR, IEC, 9 MOD (1507-374-01)</t>
  </si>
  <si>
    <t>ASSY, T20, V2.1, STP270-24/Vb, 3-BUSBAR, IEC, 9 MOD (1507-374-02)</t>
  </si>
  <si>
    <t>LIFTING BAR, T20 V2.0 (1507-375)</t>
  </si>
  <si>
    <t>CROSS BRACE, SHIPPING SKID, T20 V2.0 (1507-376)</t>
  </si>
  <si>
    <t>EXTRUSION, MOUNTING, VERTICAL, SHIPPING SKID, T20 V2.0 (1507-377)</t>
  </si>
  <si>
    <t>EXTRUSION, STACKING, SHIPPING, T20 V2.0 (1507-378)</t>
  </si>
  <si>
    <t>H-PLATE, STACKING, SHIPPING, T20 V2.0 (1507-379)</t>
  </si>
  <si>
    <t>SKID, SHIPPING, T20 V2.0 (1507-380)</t>
  </si>
  <si>
    <t>ADD-ON, STACKING, SHIPPING, TORQUE ARM, T20 V2.0 (1507-381)</t>
  </si>
  <si>
    <t>ASSY, DRIVE STRUT, 76.1 MM OD ROUND, 5.27 M, T20, V2.1 (1507-382)</t>
  </si>
  <si>
    <t>DRIVE STRUT, 76.1 MM OD ROUND, 5.27 M, T20, V2.1 (1507-383)</t>
  </si>
  <si>
    <t>ASSY, DRIVE STRUT, 80 MM SQUARE, 5.27 M, T20, V2.1 (1507-384)</t>
  </si>
  <si>
    <t>DRIVE STRUT, 80 MM SQUARE, 5.27 M, T20, V2.1 (1507-385)</t>
  </si>
  <si>
    <t>ASSY, DRIVE STRUT, 76.1 MM OD ROUND, 3.94 M, T20, V2.1 (1507-386)</t>
  </si>
  <si>
    <t>DRIVE STRUT, 76.1 MM OD ROUND, 3.94 M, T20, V2.1 (1507-387)</t>
  </si>
  <si>
    <t>WELDMENT, DRIVE SKID, ROW CENTER, T20, V2.1 (1507-388)</t>
  </si>
  <si>
    <t>TORQUE TUBE, DRIVE SKID, T20, V2.1 (1507-389)</t>
  </si>
  <si>
    <t>TORQUE ARM, DRIVE SKID, T20, V2.1 (1507-390)</t>
  </si>
  <si>
    <t>PIN, PIVOT, DRIVE SKID, T20, V2.1 (1507-392)</t>
  </si>
  <si>
    <t>ASSY, DRIVE SKID, T20, V2.1 (1507-393)</t>
  </si>
  <si>
    <t>BOLT, HVYHX, M20-2.5 X 65MM, HDG, A-325M, ASME B18.2.3.7M (1507-394)</t>
  </si>
  <si>
    <t>PIN, PIVOT, DRIVE STRUT, T20, V2.1 (1507-395)</t>
  </si>
  <si>
    <t>ASSY, CABLE, JUMPER, MC, 8.65 M, 4MM SQ,1000V,DBL INS (1507-397)</t>
  </si>
  <si>
    <t>FOUNDATION, FRONT, INTERIOR, T20, V2.1 (1507-399)</t>
  </si>
  <si>
    <t>FOUNDATION, SOUTH, T20, V2.1 (1507-400)</t>
  </si>
  <si>
    <t>FOUNDATION, NORTH, T20, V2.1 (1507-402)</t>
  </si>
  <si>
    <t>WASHER, FLAT, M20, F436M, MECH. GALV. (1507-403)</t>
  </si>
  <si>
    <t>BOLT, HVYHX, M10 X 30MM, HDG, A-325M, ASME B18.2.3.7M (1507-404)</t>
  </si>
  <si>
    <t>BOLT, HVYHX, M20-2.5 X 40MM, HDG, A-325M, ASME B18.2.3.7M (1507-405)</t>
  </si>
  <si>
    <t>ASSY, DUAL MODULE, YING YL210 (156), 210 WP, IEC, T20 V2.1 (1507-406-01)</t>
  </si>
  <si>
    <t>ASSY, DUAL MODULE, YING YL220 (156), 220 WP, IEC, T20 V2.1 (1507-406-02)</t>
  </si>
  <si>
    <t>SCREW, CAP, HH, M6 X 1 X 16, 18-8 SS, DIN 933 (1507-407)</t>
  </si>
  <si>
    <t>ASSY, T20, V2.1, YL210, IEC, 11 MODS (1507-417-01)</t>
  </si>
  <si>
    <t>ASSY, T20, V2.1, YL220, IEC, 11 MODS (1507-417-02)</t>
  </si>
  <si>
    <t>ASSY, T20, V2.1, SPR-230, 1000V (1507-418-01)</t>
  </si>
  <si>
    <t>ASSY, T20, V2.1, SPR-225, 1000V (1507-418-02)</t>
  </si>
  <si>
    <t>ASSY, T20, V2.1, SPR-220, 1000V (1507-418-03)</t>
  </si>
  <si>
    <t>ASSY, T20, V2.1, SPR-215, 1000V (1507-418-04)</t>
  </si>
  <si>
    <t>ASSY, T20, V2.1, SPR-210, 1000V (1507-418-05)</t>
  </si>
  <si>
    <t>ASSY, GPT-20, 12 MOD SUNP 225 UL (1507-419)</t>
  </si>
  <si>
    <t>PVM, FR, SUNT STP270-24/Vb, 3-BUSBAR, 270 WP, IEC, W/ MC (1507-420)</t>
  </si>
  <si>
    <t>Monitoring Item, SPR-PMR-DLOG, Data Logger (1507-421)</t>
  </si>
  <si>
    <t>Monitoring Item, SPR-PMR-GTWY, Gateway (1507-422)</t>
  </si>
  <si>
    <t>PLC, CONTROLLER, TRACKER, FX3U-16MR/ES (1507-423)</t>
  </si>
  <si>
    <t>VFD, CONTROLLER, TRACKER, FR-E540-0 0.4K-NA (1507-424)</t>
  </si>
  <si>
    <t>A/D CONVERTER, PLC, CONTROLLER, TRACKER, FX2N-2AD (1507-425)</t>
  </si>
  <si>
    <t>INCLINOMETER, 18' CABLE, CONTROLLER, TRACKER, SCA121T-D03 (1507-427)</t>
  </si>
  <si>
    <t>VFD FILTER, CONTROLLER, TRACKER, FFR-E540-4, 5A-SF1 (1507-428)</t>
  </si>
  <si>
    <t>GPS, CONTROLLER, TRACKER, 16HVS (1507-429)</t>
  </si>
  <si>
    <t>GPS, MAG BASE, CONTROLLER, TRACKER, 16HVS (1507-430)</t>
  </si>
  <si>
    <t>MECHANISM, BREAKER, CONTROLLER, TRACKER, CUTLER HAMMER, HRGCV14L (1507-431)</t>
  </si>
  <si>
    <t>BREAKER, CONTROLLER, TRACKER, CUTLER HAMMER, GI3015 (1507-432)</t>
  </si>
  <si>
    <t>HANDLE, CONTROLLER, TRACKER, ABB, BLACK, OHB65L5 (1507-434)</t>
  </si>
  <si>
    <t>COM BOARD, RS 485, PLC, CONTROLLER, TRACKER, FX3U485BD (1507-437)</t>
  </si>
  <si>
    <t>CABLE, PLC TO VFD, PLC, CONTROLLER, TRACKER, RJ45 RS485 (1507-438)</t>
  </si>
  <si>
    <t>ADAPTOR, SERIAL PORT, PLC, CONTROLLER, TRACKER, FX3U-232-ADP (1507-439)</t>
  </si>
  <si>
    <t>HANDLE, TRACKER, CONTROLLER, CUTLER HAMMER, BLACK, 140U-HS4 (1507-440)</t>
  </si>
  <si>
    <t>BOOT, SCREW JACK, TRACKER, DRIVE UNIT, 2.88 DIA., JD 8011025 (1507-441)</t>
  </si>
  <si>
    <t>PVM, FR, SUNT STP260-24/Vb, 3 BUSBAR, 260 WP, IEC, W/MC (1507-442)</t>
  </si>
  <si>
    <t>REAR COLUMN, BOTTOM, T20, V2.1, LENGTH B (1507-444)</t>
  </si>
  <si>
    <t>ASSY, CROSS PLATE, STACKING, SHIPPING, T20 V2.1 (1507-448)</t>
  </si>
  <si>
    <t>H-PLATE, STACKING, SHIPPING, T20 V2.1 (1507-449)</t>
  </si>
  <si>
    <t>EXTRUSION, MOUNTING, VERTICAL, SHIPPING SKID, T20 V2.1 (1507-450)</t>
  </si>
  <si>
    <t>SKID, SHIPPING, T20 V2.1 (1507-451)</t>
  </si>
  <si>
    <t>ADD-ON, SPAN, SHIPPING SKID, SUNTECH, T20 V2.1 (1507-452)</t>
  </si>
  <si>
    <t>ASSY, WIRE TRAY, T10 METRIC (1507-455)</t>
  </si>
  <si>
    <t>PAN, WIRE TRAY, T10 METRIC (1507-456)</t>
  </si>
  <si>
    <t>COVER, WIRE TRAY, T10 METRIC (1507-457)</t>
  </si>
  <si>
    <t>DEFLECTOR, NORTH, SUNPOWER, EUROPEAN (1507-458)</t>
  </si>
  <si>
    <t>BOLT, CARRIAGE, M6X1.0X20, 304SS (1507-459)</t>
  </si>
  <si>
    <t>BOLT, HH, M6X1.0 X 45, W/PATCH, SPEC 1506-281 (1507-460)</t>
  </si>
  <si>
    <t>BOLT, HH, M6X1.0 X 30, W/PATCH, SPEC 1506-281 (1507-461)</t>
  </si>
  <si>
    <t>SCREW, S-T, HWH, M4X0.7 X 12, 410SS (1507-462)</t>
  </si>
  <si>
    <t>NUT, HEX, M4X0.7, SPEC ASTM F836M (1507-463)</t>
  </si>
  <si>
    <t>ASSY, POWERGUARD TILE, UL CERT, SUNP 96 CELL, C65 (1507-465)</t>
  </si>
  <si>
    <t>ASSY, CABLE, CAT_5, 36" (1507-467)</t>
  </si>
  <si>
    <t>ANGLE, BEARING RETENTION, VERSION B, T20 V2.1 (1507-468)</t>
  </si>
  <si>
    <t>CELL, QCELLS, POLY, 156MM, Q6LTT-180, 16.0, 3.89 Wp (1507-471)</t>
  </si>
  <si>
    <t>OPTION, SYMMETRY MONITORING, SIEMENS SINVERT 100, 3DC (1507-473)</t>
  </si>
  <si>
    <t>OPTION, KIT, POS GROUND, SIEMENS SINVERT 100, 3DC (1507-474)</t>
  </si>
  <si>
    <t>OPTION, KIT, NEG GROUND, SIEMENS SINVERT 100, 3DC (1507-475)</t>
  </si>
  <si>
    <t>BOX, TELESERVICE, ANALOG/ISDN, SIEMENS SINVERT 100, 3DC (1507-476)</t>
  </si>
  <si>
    <t>BOX, MODEM CONNECTION, SIEMENS SINVERT 100, 3DC (1507-477)</t>
  </si>
  <si>
    <t>COMM BOARD, SIEMENS, WINCC INTERFACE, SINVERT 100, 3DC (1507-478)</t>
  </si>
  <si>
    <t>COMM BOARD, SIEMENS, OLM TYPE G12, FOR WINCC (1507-479)</t>
  </si>
  <si>
    <t>SCADA, SIEMENS WINCC, FOR 150 SINVERT 100, OLIVENZA (1507-480)</t>
  </si>
  <si>
    <t>SCADA, SIEMENS WINCC, FOR 100 SINVERT 100, NATURENER (1507-481)</t>
  </si>
  <si>
    <t>SCADA, SIEMENS WINCC, FOR 50 SINVERT 100, NATURENER (1507-482)</t>
  </si>
  <si>
    <t>SCADA, SIEMENS WINCC, FOR 25 SINVERT 100, NATURENER (1507-483)</t>
  </si>
  <si>
    <t>WEATHER STATION, SIEMENS, OLIVENZA (1507-484)</t>
  </si>
  <si>
    <t>WEATHER STATION, SIEMENS, NATURENER (1507-485)</t>
  </si>
  <si>
    <t>STRING BOX, SIEMENS AB6, 6-STR, 63A LB, 15A FUSE (1507-486)</t>
  </si>
  <si>
    <t>STRING BOX, SIEMENS AB8, 8-STR, 100A NLB, 15A FUSE (1507-487)</t>
  </si>
  <si>
    <t>ASSY, INVERTER, SIEMENS, SINVERT 100 (1507-503-01)</t>
  </si>
  <si>
    <t>CONNECTOR, WIRE-NUT, WATERTIGHT,#20-#10 (4050-021)</t>
  </si>
  <si>
    <t>TERMINAL, SPADE, AMP, 10-12 AWG, #8 STUD (4050-022)</t>
  </si>
  <si>
    <t>CONNECTOR, WIRE-NUT, WATERTIGHT, #20-#10, PKG 100 (4050-023)</t>
  </si>
  <si>
    <t>RECTIFIER, 6A, 600VDC, 1000V PEAK REVERSE BIAS (4100-001)</t>
  </si>
  <si>
    <t>WIRE, STRND, USE-2, RHH OR RHW-2, XLPE, 12AWG (4150-001)</t>
  </si>
  <si>
    <t>WIRE, THERMOCOUPLE, 20AWG (4150-004)</t>
  </si>
  <si>
    <t>CABLE, DATA, 18AWG, 6 PAIR, SHIELDED (4150-005)</t>
  </si>
  <si>
    <t>WIRE, STRND, THHN, 12AWG, RED (4150-007)</t>
  </si>
  <si>
    <t>WIRE, STRND, USE-2, RHH, OR RHW-2, 14AWG (4150-008)</t>
  </si>
  <si>
    <t>WIRE, STRND, THHN, 12AWG, BLACK (4150-009)</t>
  </si>
  <si>
    <t>WIRE, STRND, THHN, 10AWG, BLACK (4150-010)</t>
  </si>
  <si>
    <t>WIRE, STRND, THHN, 10AWG, RED (4150-011)</t>
  </si>
  <si>
    <t>WIRE, STRND, THHN, 10AWG, GREEN (4150-012)</t>
  </si>
  <si>
    <t>WIRE, STRND, USE-2, HYPALON JACKET, 12AWG (4150-013)</t>
  </si>
  <si>
    <t>CABLE, ARMORED, CONTROL, TYPE MC, 600V, 3 X 6AWG (4150-014)</t>
  </si>
  <si>
    <t>WIRE, GROUNDING, BARE COPPER, 10AWG (4150-020)</t>
  </si>
  <si>
    <t>WIRE, STRND, THHN, 1AWG (4150-021)</t>
  </si>
  <si>
    <t>WIRE, STRND, THHN, 14AWG, GREEN (4150-022)</t>
  </si>
  <si>
    <t>WIRE, STRND, THHN, 14AWG, BLACK (4150-023)</t>
  </si>
  <si>
    <t>WIRE, STRND, THHN, 250 MCM, BLACK (4150-024)</t>
  </si>
  <si>
    <t>WIRE, STRND, THHN, 250 MCM, RED (4150-025)</t>
  </si>
  <si>
    <t>CABLE, ANEMOMETER, 3C, 20AWG (4150-026)</t>
  </si>
  <si>
    <t>WIRE, STRND, 12AWG, 535RHH-RHW2, 2KV, DLO, AAR-589 (4150-030)</t>
  </si>
  <si>
    <t>CABLE, SINGLE-POLE, MC, DBL-INSULATED, HK2.5-PV-RA (4150-031)</t>
  </si>
  <si>
    <t>WIRE, THHN, 350 MCM, BLACK (4150-032)</t>
  </si>
  <si>
    <t>WIRE, THHN, 350 MCM, WHITE (4150-033)</t>
  </si>
  <si>
    <t>WIRE, THHN, 3/0 AWG, BLACK (4150-034)</t>
  </si>
  <si>
    <t>WIRE, STRND, THHN, 10AWG, WHITE (4150-035)</t>
  </si>
  <si>
    <t>WIRE, STRND, THWN-2, 10AWG, BLACK (4150-036)</t>
  </si>
  <si>
    <t>WIRE, STRND, THWN-2, 10AWG, WHITE (4150-037)</t>
  </si>
  <si>
    <t>WIRE, STRND, THWN-2, 6AWG, GREEN (4150-038)</t>
  </si>
  <si>
    <t>ENCLSR, NEMA 4, 36 X 24 X 8 (4200-001)</t>
  </si>
  <si>
    <t>PANEL, 34 X 22 (4200-002)</t>
  </si>
  <si>
    <t>ENCLSR, NEMA 4, 30 X 20 X 8 (4200-003)</t>
  </si>
  <si>
    <t>PANEL, 28 X 18 (4200-004)</t>
  </si>
  <si>
    <t>ENCLSR, NEMA 4, 48 X 36 X 12 (4200-005)</t>
  </si>
  <si>
    <t>PANEL, 48 X 36 (4200-006)</t>
  </si>
  <si>
    <t>ENCLSR, NEMA 4, 24 X 16 X 6 (4200-007)</t>
  </si>
  <si>
    <t>PANEL, 24 X 16 (4200-008)</t>
  </si>
  <si>
    <t>ENCLSR, NEMA 4X, 14 X 6 X 3.5 (4200-009)</t>
  </si>
  <si>
    <t>PANEL, 14 X 6 (4200-010)</t>
  </si>
  <si>
    <t>ENCLSR, NEMA 4X, 8 X 5 X 3 (4200-011)</t>
  </si>
  <si>
    <t>PANEL, 8 X 5 (4200-012)</t>
  </si>
  <si>
    <t>ENCLSR, NEMA 4, 24 X 16 X 8 (4200-013)</t>
  </si>
  <si>
    <t>PANEL, 36 X 36 (4200-014)</t>
  </si>
  <si>
    <t>ENCLSR, NEMA 4, 36 X 36 X 12 (4200-015)</t>
  </si>
  <si>
    <t>ENCLSR, NEMA 4, 20 X 16 X 8 (4200-016)</t>
  </si>
  <si>
    <t>PANEL, 20 X 16 (4200-017)</t>
  </si>
  <si>
    <t>PANEL, 13 X 9 (4200-018)</t>
  </si>
  <si>
    <t>ENCLSR, NEMA 4X, 13 X 9 X 4 (4200-019)</t>
  </si>
  <si>
    <t>ENCLSR, NEMA 4, 36 X 30 X 8 (4200-020)</t>
  </si>
  <si>
    <t>PANEL, 36 X 30 (4200-021)</t>
  </si>
  <si>
    <t>ENCLSR, NEMA 4, 16 X 12 X 6 (4200-022)</t>
  </si>
  <si>
    <t>PANEL, 16 X 12 (4200-023)</t>
  </si>
  <si>
    <t>HANDLE, PADLOCK, CONCEPT ENCLSR (4200-024)</t>
  </si>
  <si>
    <t>ENCLSR, NEMA 4, 3.15 X 6.89 X 2.12 (4200-025)</t>
  </si>
  <si>
    <t>PANEL, 6.46 X 2.42 (4200-026)</t>
  </si>
  <si>
    <t>J-BOX, UNI-SOLAR (4200-027)</t>
  </si>
  <si>
    <t>J-BOX, MILLENNIA (4200-028)</t>
  </si>
  <si>
    <t>ENCLSR, NEMA 4, 12 X 12 X 6 (4200-029)</t>
  </si>
  <si>
    <t>PANEL, 12 X 12 (4200-030)</t>
  </si>
  <si>
    <t>ENCLSR, NEMA 12, 2-DR, 72 X 60 X 16, W/ WTHR SHLD (4200-031)</t>
  </si>
  <si>
    <t>PANEL, 68 X 56 (4200-032)</t>
  </si>
  <si>
    <t>ENCLSR, NEMA 4, FIBERGLASS, 16" X 14" X 6", WHITE (4200-033)</t>
  </si>
  <si>
    <t>PANEL, 12.9" X 10.9" (4200-034)</t>
  </si>
  <si>
    <t>ENCLSR, NEMA 4, POLYCARBONATE, 4.9" X 3" X 3" (4200-035)</t>
  </si>
  <si>
    <t>ENCLSR, NEMA 4X, POLYCARBONATE, 4.8 X4.72_x000D_ (4200-036)</t>
  </si>
  <si>
    <t>PANEL, 4.33 X 3.54 (4200-037)</t>
  </si>
  <si>
    <t>ENCLSR, NEMA 4X, FIBERGLASS, 17.5" X 15.5" X 6.3" (4200-038)</t>
  </si>
  <si>
    <t>PANEL, 14.9" X 12.9" (4200-039)</t>
  </si>
  <si>
    <t>ENCLSR, NEMA 4, 48 X 36 X 10 (4200-040)</t>
  </si>
  <si>
    <t>ENCLSR, NEMA 4, 36 X 30 X 8, WHITE (4200-041)</t>
  </si>
  <si>
    <t>ENCLSR, NEMA 4, 30 X 24 X 8, WHITE (4200-042)</t>
  </si>
  <si>
    <t>ENCLSR, NEMA 4, 16 X 16 X 8, WHITE (4200-043)</t>
  </si>
  <si>
    <t>ENCLSR, NEMA 4, 20 X 20 X 8, WHITE (4200-044)</t>
  </si>
  <si>
    <t>ENCLSR, NEMA 4X, AL, 16 X 12 X 6 (4200-045)</t>
  </si>
  <si>
    <t>PANEL, STEEL, 13 X 9 (4200-046)</t>
  </si>
  <si>
    <t>ENCLSR, NEMA 4X, 13 X 9 X 4. WHITE (4200-047)</t>
  </si>
  <si>
    <t>PANEL, 30 X 24 (4200-048)</t>
  </si>
  <si>
    <t>PANEL, 16 X 16 (4200-049)</t>
  </si>
  <si>
    <t>ENCLSR, NEMA 4, 72.06 X 37.06 X 24.06, STEEL (4200-050)</t>
  </si>
  <si>
    <t>PANEL, STEEL, 60 X 32 (4200-051)</t>
  </si>
  <si>
    <t>PANEL, STEEL, 60 X 14 (4200-052)</t>
  </si>
  <si>
    <t>ENCLSR, NEMA 12, FREE-STDG, 2-DOOR, 72 X 60 X 18 (4200-053)</t>
  </si>
  <si>
    <t>PANEL, STEEL, 60 X 56 (4200-054)</t>
  </si>
  <si>
    <t>ENCLSR, NEMA 4X, AL, 13 X 9 X 7 (4200-055)</t>
  </si>
  <si>
    <t>ENCLSR, NEMA 4X, FIBERGLASS, 14 X 12 X 8 (4200-058)</t>
  </si>
  <si>
    <t>ENCLSR, NEMA 4X, FIBERGLASS, 10 X 8 X 6 (4200-059)</t>
  </si>
  <si>
    <t>ENCLSR, NEMA 12, STEEL, 72 X 72 X 10 (4200-060)</t>
  </si>
  <si>
    <t>PANEL, 68 X 68 (4200-061)</t>
  </si>
  <si>
    <t>SHIELD, DRIP, 72", TYPE 12 TWO-DOOR ENCLSR (4200-062)</t>
  </si>
  <si>
    <t>ENCLSR, INLINE, HINGED, 10 X 8 X 6 (4200-063)</t>
  </si>
  <si>
    <t>KIT, LOCK, HOFFMAN TYPE 3R, 4, AND 12 ENCLSRS (4200-064)</t>
  </si>
  <si>
    <t>PUNCH, HOLE, LOCK, A-CLSN12 (4200-065)</t>
  </si>
  <si>
    <t>ENCLSR, NEMA 4, 24 X 20 X 8 (4200-066)</t>
  </si>
  <si>
    <t>PANEL, 24 X 20 (4200-067)</t>
  </si>
  <si>
    <t>ENCLSR, NEMA 4X, AL, 10 X 6 X 3 (4200-068)</t>
  </si>
  <si>
    <t>ENCLSR, NEMA 4X, 12 X 10 X 5, AL (4200-069)</t>
  </si>
  <si>
    <t>ENCLSR, NEMA 4, 24 X 24 X 6 (4200-070)</t>
  </si>
  <si>
    <t>PANEL, 24 X 24 (4200-071)</t>
  </si>
  <si>
    <t>FUSE, FAST-ACTING, 600V, 10A (4250-001)</t>
  </si>
  <si>
    <t>FUSE BLOCK, 3-POLE (4250-002)</t>
  </si>
  <si>
    <t>FUSE PULLER (4250-003)</t>
  </si>
  <si>
    <t>FUSE, FAST-ACTING, 600V, 3A (4250-004)</t>
  </si>
  <si>
    <t>FUSE BLOCK, 2-POLE (4250-005)</t>
  </si>
  <si>
    <t>FUSE, FAST-ACTING, 600V, 9A (4250-006)</t>
  </si>
  <si>
    <t>FUSE, FAST-ACTING, 600V, 7A (4250-007)</t>
  </si>
  <si>
    <t>FUSE BLOCK, 1-POLE (4250-008)</t>
  </si>
  <si>
    <t>FUSE, DUAL ELEMENT, 600V, CLASS RK5, 35A (4250-009)</t>
  </si>
  <si>
    <t>FUSE, FAST-ACTING, 600V, 12A (4250-012)</t>
  </si>
  <si>
    <t>FUSE, FAST-ACTING, 600V, 8A (4250-013)</t>
  </si>
  <si>
    <t>FUSE, DUAL ELEMENT, 600V, CLASS RK5, 25A (4250-014)</t>
  </si>
  <si>
    <t>FUSE, DUAL ELEMENT, 600V, CLASS RK5, 175A (4250-015)</t>
  </si>
  <si>
    <t>FUSE, INDICATOR, 600V, CLASS RK5, 15A (4250-016)</t>
  </si>
  <si>
    <t>FUSE BLOCK, CLASS R, 600V, 3-POLE, 30A (4250-017)</t>
  </si>
  <si>
    <t>FUSE, DUAL ELEMENT, 600V, CLASS RK5, 150A (4250-019)</t>
  </si>
  <si>
    <t>FUSE, DUAL ELEMENT, 600V, CLASS RK5, 70A (4250-020)</t>
  </si>
  <si>
    <t>CURB, OUTIE, UNIVERSAL, POWERGUARD (1507-712)</t>
  </si>
  <si>
    <t>SKIRT, NEOPRENE, CURB, UNIVERSAL,POWERGUARD (1507-713)</t>
  </si>
  <si>
    <t>CURB, ASSEMBLY, OUTIE, UNIVERAL, POWERGUARD (1507-714)</t>
  </si>
  <si>
    <t>EXIT BOX, CURB, UNIVERSAL, POWERGUARD (1507-715)</t>
  </si>
  <si>
    <t>CORNER, INNER, ASSEMBLY, CURB, UNIVERSAL, POWERGUARD (1507-716)</t>
  </si>
  <si>
    <t>LID, CORNER, INNER, CURB, UNIVERSAL, POWERGUARD (1507-717)</t>
  </si>
  <si>
    <t>BOX, CORNER, CURB, UNIVERSAL, POWERGUARD (1507-718)</t>
  </si>
  <si>
    <t>SQUARE, NEOPRENE, CURB, UNIVERSAL, POWERGUARD (1507-719)</t>
  </si>
  <si>
    <t>CORNER, OUTER, ASSEMBLY, CURB, UNIVERSAL, POWERGUARD (1507-720)</t>
  </si>
  <si>
    <t>LID, CORNER, OUTER, CURB, UNIVERSAL, POWERGUARD (1507-721)</t>
  </si>
  <si>
    <t>DRILL BIT, #29, .136" D, CURB, UNIVERSAL, POWERGUARD (1507-722)</t>
  </si>
  <si>
    <t>DRIVER, HEX, .25", CURB, UNIVERSAL, POWERGUARD (1507-723)</t>
  </si>
  <si>
    <t>SCREW, S-T, TYPE F, HWH, #8-32 X 3/8, 410 SS (1507-724)</t>
  </si>
  <si>
    <t>ANCHOR, STRAPPING, CURB, UNIVERSAL, POWERGUARD (1507-725)</t>
  </si>
  <si>
    <t>CURB, INNIE, UNIVERSAL, POWERGUARD (1507-726)</t>
  </si>
  <si>
    <t>PLACEHOLDER, CURB, UNIVERSAL, POWERGUARD, 1507-728, 1507-729 (1507-727)</t>
  </si>
  <si>
    <t>CAP, ROUND, TPE, 7.2 MM, BLACK, FOR MC4 PIN (1507-734)</t>
  </si>
  <si>
    <t>CELL, QCELLS, POLY, 156MM, Q6LTT-180, 16.2, 3.94 Wp (1507-735)</t>
  </si>
  <si>
    <t>WIRE ROPE, 3/16", 7X7 GALVANIZED (1507-736)</t>
  </si>
  <si>
    <t>SLEEVE, WIRE ROPE, OVAL, 3/16", ZINC PL., COPPER (1507-737)</t>
  </si>
  <si>
    <t>THIMBLE, 3/16" GALVANIZED, FF-T-276B TYPE II (1507-738)</t>
  </si>
  <si>
    <t>ASSY, PG TILE, GROOVE, MARKETING SAMPLE, SUNP (1507-739)</t>
  </si>
  <si>
    <t>ASSY, BBD, GROOVE, MARKETING SAMPLE, PG TILE, SUNP (1507-740)</t>
  </si>
  <si>
    <t>BBD, FOAM, GROOVE, MARKETING SAMPLE, PG TILE, SUNP (1507-741)</t>
  </si>
  <si>
    <t>ASSY, MARKETING SAMPLE, PG TILES, BOXED (1507-742)</t>
  </si>
  <si>
    <t>COIL, TUBING, 100 X 100 X  5 MM THICK, T20, SPEC 1507-297 (1507-746)</t>
  </si>
  <si>
    <t>WELDMENT, BRG PEDESTAL, 1/4" WALL, 31" LG (1507-749)</t>
  </si>
  <si>
    <t>WELDMENT, BRG PEDESTAL, 3/8" WALL, 31" LG (1507-750)</t>
  </si>
  <si>
    <t>WELDMENT, BRG PEDESTAL, SCHED 40, 31" LG (1507-751)</t>
  </si>
  <si>
    <t>SIGN, AL, "WARNING, MOTOR CONTROLLER AC DISCONNECT", 3" X 6" (1507-752)</t>
  </si>
  <si>
    <t>REFERENCE CELL, SOLARSTRAHLUNGSSENSOR Si-01 TC, INT. BATTERY (1507-754)</t>
  </si>
  <si>
    <t>WELDMENT, TOP CAP, BOLT ON, T0 (1507-760)</t>
  </si>
  <si>
    <t>LABEL, EXTERNAL ENCLOSURE, DATALOGGER, SPMS (1507-761)</t>
  </si>
  <si>
    <t>MOUNTING PLATE, EXTERNAL ENCLOSURE, DATALOGGER, SPMS (1507-762)</t>
  </si>
  <si>
    <t>ROD, THREADED, M24-3 X 480MM, ASTM F568M, CLASS 4.6, HDG, ASME B1.13M (1507-763)</t>
  </si>
  <si>
    <t>NUT, HEAVY HEX, M24-3, HDG, A563M 8S, ASME B18.2.4.6M (1507-764)</t>
  </si>
  <si>
    <t>WASHER, FLAT, M24, ASTM F436M, HDG (1507-765)</t>
  </si>
  <si>
    <t>ROD, THREADED, M20-2.5 X 375MM, ASTM F568M, CLASS 4.6, HDG, ASME B1.13M (1507-766)</t>
  </si>
  <si>
    <t>BRACKET, COMBINER BOX, 36 STRING, T20 V2.1 (1507-768)</t>
  </si>
  <si>
    <t>BRACKET, WIRETRAY SUPPORT, UNISTRUT, T20 V2.1 (1507-769)</t>
  </si>
  <si>
    <t>NUT, CHANNEL, 3/8-16, SS, UNISTRUT P3008 (1507-770)</t>
  </si>
  <si>
    <t>NUT, HEX, 1/2-13, HDG, A194 2H (1507-771)</t>
  </si>
  <si>
    <t>WASHER, LOCK, SPLIT, 1/2, HDG, F436 (1507-772)</t>
  </si>
  <si>
    <t>PLATE FITTING, UNISTRUT, P2864, 1/2" BOLT, HDG (1507-773)</t>
  </si>
  <si>
    <t>WASHER, LOCK, SPLIT, 3/8, 304SS (1507-775)</t>
  </si>
  <si>
    <t>KIT, MOUNTING FOOT, COMBINER BOX, HOFFMAN CMFKSS (1507-776)</t>
  </si>
  <si>
    <t>WELDMENT, TORQUE ARM WELD ON, T0 (1507-777)</t>
  </si>
  <si>
    <t>PVM, FR, SOLA SSI-230-QP-I, 230W, IEC, W/T (1507-789)</t>
  </si>
  <si>
    <t>SCREW, HH, M10-1.5 X 25MM, SS, DIN 933 (1507-790)</t>
  </si>
  <si>
    <t>WASHER, LOCK, SPLIT, M10, 18-8 SS, DIN 127B (1507-791)</t>
  </si>
  <si>
    <t>ASSY, TILE, BPSO BP-980L, APOLLO,2.5" HT. (2050-038)</t>
  </si>
  <si>
    <t>ASSY, TILE, SIEM SP-75, 75 WP, DOUBLE MODULE, UL (2050-056)</t>
  </si>
  <si>
    <t>ASSY, TILE, ASTR AP-120L, 120 WP, UL (2050-063)</t>
  </si>
  <si>
    <t>ASSY, BBD, ASTR AP-130 (2070-002)</t>
  </si>
  <si>
    <t>ASSY, BBD, SIEM SP150-24L, UL (2070-003)</t>
  </si>
  <si>
    <t>ASSY, BBD, SP-75/AP-75/SQ-75, DOUBLE MODULE (2070-004)</t>
  </si>
  <si>
    <t>ASSY, BBD, SIEM SP150-24L, IEC (2070-007)</t>
  </si>
  <si>
    <t>ASSY, BBD, ASTR GSB140 (2070-008)</t>
  </si>
  <si>
    <t>ASSY, BBD, BPSO MST43, FRMD,MOD-ADHRD,2 SPCRS,EPA (2070-010)</t>
  </si>
  <si>
    <t>ASSY, BLANK BOARD, SIEM SP150-CPL (2080-003)</t>
  </si>
  <si>
    <t>ASSY, BLANK BOARD, ASTR AP-75 &amp; SIEM SP-75, DBL (2080-005)</t>
  </si>
  <si>
    <t>ASSY, CABLE, SOCKET, UL, 30" (2150-021)</t>
  </si>
  <si>
    <t>ASSY, CABLE, PIN, UL, 22" (2150-022)</t>
  </si>
  <si>
    <t>ASSY, CABLE, SOCKET, UL, 24" (2150-045)</t>
  </si>
  <si>
    <t>ASSY, CABLE, GROUNDING, 2-RING, 12 AWG, 38" (2150-184)</t>
  </si>
  <si>
    <t>ASSY, COMB.BOX, STD, 1-6 STR - USE 1504-610 (2150-201)</t>
  </si>
  <si>
    <t>ASSY, COMB.BOX, STD, 7-12 STR - USE 1504-611 (2150-202)</t>
  </si>
  <si>
    <t>ASSY, COMB.BOX, STD, 13-18 STR - USE 1504-612 (2150-203)</t>
  </si>
  <si>
    <t>ASSY, COMB. BOX, STD, 30X20, 30 STR, 2/LEG (2150-204)</t>
  </si>
  <si>
    <t>ASSY, COMB.BOX, STD,56 STR(OBSOLETE SEE 1504-615) (2150-205)</t>
  </si>
  <si>
    <t>ASSY, COMB.BOX, STD,30 STR(OBSOLETE SEE 1503-721) (2150-213)</t>
  </si>
  <si>
    <t>ASSY, T-HARNESS, WIRE ONLY, MST-43 (2150-234)</t>
  </si>
  <si>
    <t>ASSY, T-HARNESS, MST-43, SOCKET (2150-235)</t>
  </si>
  <si>
    <t>ASSY, DIODE BOX, 30 X 24, 36-STRING (2150-245)</t>
  </si>
  <si>
    <t>ASSY, DIODE/TERMINAL BOX, 12-STR. (2150-246)</t>
  </si>
  <si>
    <t>ASSY, COMB. BOX, STD, 72 X 37, 49-72 STR. (2150-249)</t>
  </si>
  <si>
    <t>ASSY, CABLE, SOCKET, UL, 35' (2150-255)</t>
  </si>
  <si>
    <t>ASSY, CABLE, SOCKET, UL, 80' (2150-258)</t>
  </si>
  <si>
    <t>ASSY, CABLE, SOCKET, UL, 110' (2150-260)</t>
  </si>
  <si>
    <t>ASSY, CABLE, SOCKET, UL, 155' (2150-263)</t>
  </si>
  <si>
    <t>ASSY, CABLE, PIN, UL, 35' (2150-276)</t>
  </si>
  <si>
    <t>ASSY, CABLE, PIN, UL, 50' (2150-277)</t>
  </si>
  <si>
    <t>ASSY, CABLE, PIN, UL, 65' (2150-278)</t>
  </si>
  <si>
    <t>ASSY, CABLE, PIN, UL, 80' (2150-279)</t>
  </si>
  <si>
    <t>ASSY, CABLE, PIN, UL, 95' (2150-280)</t>
  </si>
  <si>
    <t>ASSY, CABLE, PIN, UL, 110' (2150-281)</t>
  </si>
  <si>
    <t>ASSY, CABLE, PIN, UL, 125' (2150-282)</t>
  </si>
  <si>
    <t>ASSY, CABLE, PIN, UL, 155' (2150-284)</t>
  </si>
  <si>
    <t>ASSY, TERMINAL BOX, STD.,1" RIGID, 1-4 STR. (2150-295)</t>
  </si>
  <si>
    <t>ASSY, TERMINAL BOX, STD.,1.5" RIGID, 5-11 STR. (2150-296)</t>
  </si>
  <si>
    <t>ASSY, TERMINAL BOX, STD.,2" RIGID, 12-18 STR. (2150-297)</t>
  </si>
  <si>
    <t>ASSY, TERMINAL BOX, STD.,2.5" RIGID, 19-27 STR. (2150-298)</t>
  </si>
  <si>
    <t>ASSY, COMB. BOX, 20X20x6, 21 STR. (2150-337)</t>
  </si>
  <si>
    <t>ASSY, CONDUCTOR EXIT BOX, 2.5" CONDUIT (2150-343)</t>
  </si>
  <si>
    <t>ASSY, CONDUCTOR EXIT BOX, 2" CONDUIT (2150-344)</t>
  </si>
  <si>
    <t>ASSY, CONDUCTOR EXIT BOX, 1.5" CONDUIT (2150-360)</t>
  </si>
  <si>
    <t>ASSY, CONDUCTOR EXIT BOX, 1" CONDUIT (2150-361)</t>
  </si>
  <si>
    <t>ASSY, MET STATION, STANDARD (2200-034)</t>
  </si>
  <si>
    <t>BRACKET, BACK, FRAMED MILLENNIA (3050-014)</t>
  </si>
  <si>
    <t>TAB, RT CURB, PAVER-STYLE, 3" SPACER (3050-022)</t>
  </si>
  <si>
    <t>BRACKET, CORNER, BOX, RT CURB (3050-034)</t>
  </si>
  <si>
    <t>CHANNEL, Z, A1, FETZER (9816-003) (3050-035)</t>
  </si>
  <si>
    <t>CHANNEL, Z, A2, FETZER (9816-004) (3050-036)</t>
  </si>
  <si>
    <t>CHANNEL, Z, B1, FETZER (9816-005) (3050-037)</t>
  </si>
  <si>
    <t>CHANNEL, Z, B2, FETZER (9816-006) (3050-038)</t>
  </si>
  <si>
    <t>CORNER, BOX, RT CURB, 3" SPACER (3050-042)</t>
  </si>
  <si>
    <t>TAB, ANCHOR, STRAPPING, RT CURB (3050-043)</t>
  </si>
  <si>
    <t>PAN, RT CURB, PAVER-STYLE, 5' LENGTH (3050-065)</t>
  </si>
  <si>
    <t>COVER, RT CURB, PAVER-STYLE, 5' L, 2-1/2" SPACER (3050-066)</t>
  </si>
  <si>
    <t>TAB, RT CURB, PAVER-STYLE, 2-1/2" SPACER (3050-067)</t>
  </si>
  <si>
    <t>LG POWERCURB, 5' LENGTH 2-1/2" SPACER (3050-068)</t>
  </si>
  <si>
    <t>BRACKET, SUPPORT, LG CURB, 2-1/2" SPACER (3050-069)</t>
  </si>
  <si>
    <t>CORNER, EXTERIOR, LG CURB, 2-1/2" SPACER (3050-070)</t>
  </si>
  <si>
    <t>CORNER, BOX, RT CURB, 2-1/2" SPACER (3050-071)</t>
  </si>
  <si>
    <t>CHANNEL, Z, DOUBLE LAP (3050-082)</t>
  </si>
  <si>
    <t>COVER, RT CURB, PAVER-STYLE, 5' L, 3" SPACER (3050-088)</t>
  </si>
  <si>
    <t>SHROUD, 42 X 38 TERMINAL BOX (3050-104)</t>
  </si>
  <si>
    <t>COVER, RT CURB, PITCH PAN, 3-PART, 3" SPACER (3050-114)</t>
  </si>
  <si>
    <t>COVER, BACK, RT CURB, PITCH PAN, 3-PART, 3" SPACER (3050-115)</t>
  </si>
  <si>
    <t>FLASHING, EXTENDED, CAPSTONE (3050-122)</t>
  </si>
  <si>
    <t>BRACKET, MOUNTING, WEATHER STATION (3050-124)</t>
  </si>
  <si>
    <t>CORNER, BOX, RT CURB, 8X12, 2-1/2" SPACER (3050-129)</t>
  </si>
  <si>
    <t>SHROUD, 44X38, 36X30 COMBINER-TERMINAL BOX, STD (3050-130)</t>
  </si>
  <si>
    <t>SHROUD, 38X28, 30X20 COMBINER-TERMINAL BOX, STD (3050-131)</t>
  </si>
  <si>
    <t>PAN, RT CURB, 2-1/2" SPACER, 30" L, NO TAPER (3050-139)</t>
  </si>
  <si>
    <t>COVER, RT CURB, 2-1/2" SPACER, 30" L, NO TAPER (3050-140)</t>
  </si>
  <si>
    <t>BRACKET, LEFT, OCC BRACE, SUNCADDY (3050-151)</t>
  </si>
  <si>
    <t>CHANNEL, SPACER TOP, PG, 33.5", NO HOLES (3050-156)</t>
  </si>
  <si>
    <t>CHANNEL, SPACER TOP, PG, 20.75", NO HOLES (3050-172)</t>
  </si>
  <si>
    <t>CORNER, INTERIOR, LG CURB, 2-1/2" SPACER (3050-173)</t>
  </si>
  <si>
    <t>CHANNEL, Z, EAVE SECUREMENT, HAYWARD LUMBER (3050-174)</t>
  </si>
  <si>
    <t>ANGLE, EAVE COVER, HAYWARD LUMBER (3050-175)</t>
  </si>
  <si>
    <t>CHANNEL, Z, PEAK SECUREMENT, HAYWARD LUMBER (3050-176)</t>
  </si>
  <si>
    <t>CHANNEL, Z, GABLE SECUREMENT, HAYWARD LUMBER (3050-178)</t>
  </si>
  <si>
    <t>COVER, EDGE, LG, 10 FT. (3050-179)</t>
  </si>
  <si>
    <t>CHANNEL, Z, SKYLIGHT SECUREMENT, HAYWARD LUMBER (3050-184)</t>
  </si>
  <si>
    <t>CORNER, SKYLIGHT SECUREMENT, HAYWARD LUMBER (3050-185)</t>
  </si>
  <si>
    <t>CHANNEL, SPACER TOP, POWERGUARD, 55.5", NO HOLES (3050-189)</t>
  </si>
  <si>
    <t>SPACER, FOAM, 2 X 1.25 X 23 (3100-018)</t>
  </si>
  <si>
    <t>SPACER, FOAM, 2 X 3 X 18 (3100-021)</t>
  </si>
  <si>
    <t>SPACER, FOAM, 2 X 2.5 X 33.5 (3100-044)</t>
  </si>
  <si>
    <t>SPACER, FOAM, 2 X 2.5 X 16.25 (3100-045)</t>
  </si>
  <si>
    <t>SPACER, FOAM, 2 X 2.5 X 31.25 (3100-046)</t>
  </si>
  <si>
    <t>SPACER, FOAM, 2 X 2.5 X 14.25 (3100-047)</t>
  </si>
  <si>
    <t>SPACER, FOAM, 2 X 2.5 X 18 (3100-052)</t>
  </si>
  <si>
    <t>SPACER, FOAM, 2 X 2.5 X 39, PAINTED ON 2 SIDES (3100-056)</t>
  </si>
  <si>
    <t>SPACER, FOAM, 2 X 2.5 X 16.25, PAINTED ON 2 SIDES (3100-059)</t>
  </si>
  <si>
    <t>SPACER, FOAM, 2 X 2.5 X 39 (3100-060)</t>
  </si>
  <si>
    <t>SPACER, FOAM, 2 X 2.5 X 27.75, PAINTED ON 2 SIDES (3100-062)</t>
  </si>
  <si>
    <t>SPACER, FOAM, 2 X 2.5 X 20.63, PAINTED ON 2 SIDES (3100-063)</t>
  </si>
  <si>
    <t>BBD, FOAM, MATR PW750 (3100-064)</t>
  </si>
  <si>
    <t>SPACER, FOAM, 2 X 2.5 X 20.63 (3100-067)</t>
  </si>
  <si>
    <t>SPACER, FOAM, 2 X 2.5 X 10.25 (3100-072)</t>
  </si>
  <si>
    <t>SPACER, FOAM, 2 X 2.5 X 55.5 (3100-073)</t>
  </si>
  <si>
    <t>SPACER, FOAM, 2 X 2.625 X 10.5 (3100-075)</t>
  </si>
  <si>
    <t>SPACER, FOAM, 2 X 2.5 X 32 (3100-076)</t>
  </si>
  <si>
    <t>BRACKET, PYRANOMETER (3150-071)</t>
  </si>
  <si>
    <t>CHANNEL, ANCHOR, RT CURB, 2X6X16"LONG, 13/32"HOLE (3150-107)</t>
  </si>
  <si>
    <t>CHANNEL, ANCHOR, RT CURB, 3.25X6X5'LONG, 7/8"HOLE (3150-113)</t>
  </si>
  <si>
    <t>CHANNEL, ANCHOR, RT CURB, 3.25X6X5'LONG, 9/16"HOLE (3150-114)</t>
  </si>
  <si>
    <t>STRIP, TEDLAR, DUPONT P/N TWH15BL3, 4"X41" (3250-014)</t>
  </si>
  <si>
    <t>STRIP, RUBBER, RT CURB, 7.65 X .06, EPDM (3300-001)</t>
  </si>
  <si>
    <t>PLUG, TAPERED, .59" OD X 1"L, 2-HOLE, RUBBER (3300-005)</t>
  </si>
  <si>
    <t>CABLE, TAP WIRE, T-HARNESS, 6.0" (3500-001)</t>
  </si>
  <si>
    <t>CABLE, RUN WIRE, T-HARNESS, 52.0" (3500-002)</t>
  </si>
  <si>
    <t>CONNECTOR, SOCKET, 3 MM, UL, 12 AWG (4050-001)</t>
  </si>
  <si>
    <t>CONNECTOR, PIN, 3 MM, UL, 12 AWG (4050-002)</t>
  </si>
  <si>
    <t>SOCKET, 3 MM  (M/C #PV-BP 3/4) (4050-003)</t>
  </si>
  <si>
    <t>INSULATOR, SOCKET (M/C #PV-T3 I/B UL) (4050-004)</t>
  </si>
  <si>
    <t>PIN, 3 MM (M/C #PV-SP 3/4) (4050-005)</t>
  </si>
  <si>
    <t>INSULATOR, PIN (M/C #PV-T3 I/S UL) (4050-006)</t>
  </si>
  <si>
    <t>TAG, UL, "DO NOT DISCONNECT UNDER LOAD" (4050-007)</t>
  </si>
  <si>
    <t>TERMINAL, SPADE, INSULATED, 10-12 GA, 1/4", FEMALE (4050-008)</t>
  </si>
  <si>
    <t>TERMINAL, SPADE, NON-INS, 10-12 GA, 1/4", FEMALE (4050-009)</t>
  </si>
  <si>
    <t>TERMINAL, SPADE, NON-INSULATED, 10-12 GA, #8 (4050-012)</t>
  </si>
  <si>
    <t>CONNECTOR, WIRE LOCK, STANDARD, #14 - #10 (4050-013)</t>
  </si>
  <si>
    <t>TERMINAL, RING, NON-INSULATED, 12-10, 1/4" (4050-014)</t>
  </si>
  <si>
    <t>TERMINAL, RING, NON-INSULATED, #6 AWG, #10 STUD (4050-015)</t>
  </si>
  <si>
    <t>SHRINK TUBING, ADHESIVE LINED, POLYOLEFIN, 3" (4050-016)</t>
  </si>
  <si>
    <t>INSULATOR, SOCKET (M/C #PV-T3 II/B) DBL INSULATED (4050-017)</t>
  </si>
  <si>
    <t>INSULATOR, PIN (M/C #PV-T3 II/S) DBL INSULATED (4050-018)</t>
  </si>
  <si>
    <t>CONNECTOR, SOCKET, 3 MM, DOUBLE INSULATED (4050-019)</t>
  </si>
  <si>
    <t>CONNECTOR, PIN, 3 MM, DOUBLE INSULATED (4050-020)</t>
  </si>
  <si>
    <t>SWITCH, SAFETY, 100A, 600V, NEMA 3R, FUSED (4400-021)</t>
  </si>
  <si>
    <t>SWITCH, SAFETY, 400A, 600VDC, NEMA 3R, 3-POLE, FUSED (4400-022)</t>
  </si>
  <si>
    <t>SWITCH, SAFETY, 60A, 240V, NEMA 3R, FUSED (4400-023)</t>
  </si>
  <si>
    <t>SWITCH, SAFETY, 200A, 240V, NEMA 3R, FUSED (4400-024)</t>
  </si>
  <si>
    <t>SWITCH, SAFETY, 10A, 240V, NEMA 3R, FUSED (4400-025)</t>
  </si>
  <si>
    <t>SWITCH, SAFETY, 100A, 600V, NEMA 1, FUSED, W/NEU (4400-026)</t>
  </si>
  <si>
    <t>BREAKER, CIRCUIT, 3P, 50A (4400-027)</t>
  </si>
  <si>
    <t>SWITCH, SAFETY, 30A, 240V, 2P, 3-WIRE, FUSED (4400-028)</t>
  </si>
  <si>
    <t>BREAKER, CIRCUIT, PANEL, 1P, 100A, 240V, 6 SPACES (4400-029)</t>
  </si>
  <si>
    <t>KIT, GROUND BAR KIT FOR 4400-029 (4400-030)</t>
  </si>
  <si>
    <t>BREAKER, CIRCUIT, 2P-120, 15A, 240V (4400-031)</t>
  </si>
  <si>
    <t>BREAKER, CIRCUIT, 2P, 25A, 240V (4400-032)</t>
  </si>
  <si>
    <t>SWITCH, SAFETY, 100A, 600V, NEMA 1, NON-FUSED (4400-033)</t>
  </si>
  <si>
    <t>BREAKER, CIRCUIT, PANEL, 3P, 125A, 240V, 4 SPACES (4400-034)</t>
  </si>
  <si>
    <t>BREAKER, CIRCUIT, 3P, 70A, 240V (4400-035)</t>
  </si>
  <si>
    <t>SWITCH, SAFETY, 200A, 600V, NEMA 3R, FUSED, W/ NEU (4400-036)</t>
  </si>
  <si>
    <t>SWITCH, SAFETY, 600A, 600V, NEMA 3R, FUSED, W/ NEU (4400-037)</t>
  </si>
  <si>
    <t>SWITCH, SAFETY, 30A 240V, NEMA 1, 3P, 4-W (4400-038)</t>
  </si>
  <si>
    <t>KIT, EQUIPMENT GROUND (4400-039)</t>
  </si>
  <si>
    <t>SWITCH, SAFETY, 30A, 240V, NEMA 3R, 3P, 4-W, W/NEU (4400-040)</t>
  </si>
  <si>
    <t>SWITCH, DC, 2P, 400A, 600VDC, NEMA 3R, UNFUSED (4400-041)</t>
  </si>
  <si>
    <t>BAR, NEUTRAL, AL, 24 CIRCUIT TAPS (4450-001)</t>
  </si>
  <si>
    <t>BAR, NEUTRAL, AL, 12 CIRCUIT TAPS (4450-002)</t>
  </si>
  <si>
    <t>BAR, NEUTRAL, AL, 36 CIRCUIT TAPS (4450-003)</t>
  </si>
  <si>
    <t>TERM BLK, MODULAR, NYLON, 600V (4450-004)</t>
  </si>
  <si>
    <t>END SECTION, TERM. BLOCK, MOD., NYLON, 600V (4450-005)</t>
  </si>
  <si>
    <t>BLOCK, POWER DISTR, 1 X 4, 2/0, 1-POLE (4450-006)</t>
  </si>
  <si>
    <t>BLOCK, POWER DISTR, 1 X 6, 2/0, 1-POLE (4450-007)</t>
  </si>
  <si>
    <t>BLOCK, POWER DISTR, 1 X 21, 350 - #6, 2 POLE (4450-008)</t>
  </si>
  <si>
    <t>BLOCK, POWER DISTR, 1 X 12, 2/0, 1-POLE (4450-009)</t>
  </si>
  <si>
    <t>BLOCK, POWER DISTR, 4 X 28  500, 1-POLE, W/ COVER (4450-010)</t>
  </si>
  <si>
    <t>TERM BLK, NORYL, 6-WIRE (4450-011)</t>
  </si>
  <si>
    <t>TERM BLK, NORYL, 8-WIRE (4450-012)</t>
  </si>
  <si>
    <t>TERM BLK, FEED THROUGH, .315" CTR, 12 POLE (4450-013)</t>
  </si>
  <si>
    <t>BLOCK, POWER DISTR, 1 X 6, 2/0, 2-POLE (4450-014)</t>
  </si>
  <si>
    <t>CONN, MULTI-TAP, INSUL, 350MCM-#6, 4-PORT (4450-015)</t>
  </si>
  <si>
    <t>BLOCK, POWER DISTR, 1 X 12, 350MCM, 2-POLE (4450-016)</t>
  </si>
  <si>
    <t>BLOCK, POWER DISTR, 4 X 28, 500MCM, 1-POLE (4450-017)</t>
  </si>
  <si>
    <t>CONN, MULTI-TAP, INSUL, 800MCM-200MCM, 2-PORT (4450-018)</t>
  </si>
  <si>
    <t>BLOCK, POWER DISTR, 1 X 12, 350MCM, 1-POLE (4450-019)</t>
  </si>
  <si>
    <t>BLOCK, TERMINAL, NEMA, NYLON, 600V, 60A (4450-020)</t>
  </si>
  <si>
    <t>END BARRIER, BLOCK, TERMINAL, FOR 4450-020 (4450-021)</t>
  </si>
  <si>
    <t>TRACK, MOUNTING, 9"X35MM, FOR 4450-020 &amp; 4450-021 (4450-022)</t>
  </si>
  <si>
    <t>JUMPER, TERM BLK, 6-POLE, ZN-CU, 60A, FOR 4450-020 (4450-023)</t>
  </si>
  <si>
    <t>TRACK, MOUNTING, 10"X35MM, FOR 4450-020 &amp; 4450-021 (4450-024)</t>
  </si>
  <si>
    <t>JUMPER, TERM BLK, 2-POLE, ZN-CU, FOR 4450-020 (4450-025)</t>
  </si>
  <si>
    <t>CONN, MULTI-TAP, INSUL, 4-14 AWG, 2-PORT (4450-026)</t>
  </si>
  <si>
    <t>CONN, MULTI-TAP, INSUL, 800MCM-250MCM, 4-PORT (4450-027)</t>
  </si>
  <si>
    <t>BAR, NEUTRAL, AL, 12 CIRCUIT TAPS, UNINSUL (4450-028)</t>
  </si>
  <si>
    <t>ADAPTER, DIN RAIL, BUSSMAN TYPE M FUSEBLOCK (4450-029)</t>
  </si>
  <si>
    <t>RAIL, DIN, 35 MM, ZN STEEL (4450-030)</t>
  </si>
  <si>
    <t>END BARRIER, DIN RAIL, 35 MM (4450-031)</t>
  </si>
  <si>
    <t>BUS BAR, CU, APPROX. 6 X 2 X .25" (4450-032)</t>
  </si>
  <si>
    <t>CONN, MULTI-TAP, INSUL, 350MCM-#6, 6-PORT (4450-033)</t>
  </si>
  <si>
    <t>CONN, MULTI-TAP, INSUL, 4-14 AWG, 4-PORT (4450-034)</t>
  </si>
  <si>
    <t>CONN, MULTI-TAP, INSUL, 600MCM-#4, 4-PORT (4450-035)</t>
  </si>
  <si>
    <t>CONN, MULTI-TAP, INSUL, 600MCM-#4, 6-PORT (4450-036)</t>
  </si>
  <si>
    <t>BLOCK, POWER DISTR, 1 X 6, 2/0-12, 3-POLE (4450-037)</t>
  </si>
  <si>
    <t>BLOCK, POWER DISTR, 1 X 6, 2/0-12, 1-POLE (4450-038)</t>
  </si>
  <si>
    <t>LUG, MULTI-TAP ADAPTER, 2-TAP, 350MCM, RIGHT-HND (4450-039)</t>
  </si>
  <si>
    <t>LUG, MULTI-TAP ADAPTER, 2-TAP, 350MCM, LEFT-HND (4450-040)</t>
  </si>
  <si>
    <t>MOUNTING BASE, TY-RAP, SCREW-DOWN (4500-001)</t>
  </si>
  <si>
    <t>ARRESTOR, LIGHTNING, 5-WIRE, 1-PH, W/ MNTG BRKTS (4500-003)</t>
  </si>
  <si>
    <t>SOLDER, NO CLEAN, 0.1" DIAMETER, SN63PB37 (4500-005)</t>
  </si>
  <si>
    <t>SHRINK TUBING, .125" RECOVERED, POLYOLEFIN TYPE (4500-006)</t>
  </si>
  <si>
    <t>LUG, GRNDG, 14 AWG-1/0 AWG (4500-007)</t>
  </si>
  <si>
    <t>LUG, GRNDG, 2/0 AWG-6 AWG (4500-008)</t>
  </si>
  <si>
    <t>LUG, GRNDG, 14 AWG-2 AWG (4500-009)</t>
  </si>
  <si>
    <t>LUG, GRNDG, 300 MCM-6 AWG (4500-010)</t>
  </si>
  <si>
    <t>LUG, GRNDG, 350 MCM-6 AWG (4500-011)</t>
  </si>
  <si>
    <t>LUG, GRNDG, 2 AWG-600 MCM (4500-013)</t>
  </si>
  <si>
    <t>LUG, GRNDG, 800 MCM-300 MCM (4500-014)</t>
  </si>
  <si>
    <t>UTILITY BOX, 1 1/2, 1/2" KNOCKOUT (4500-015)</t>
  </si>
  <si>
    <t>COVER, UTILITY BOX, DUPLEX FLUSH RECEPTACLE (4500-016)</t>
  </si>
  <si>
    <t>RECEPTACLE, DUP, 2P, 3W, GRNDG, BACK/SIDE WIRED (4500-017)</t>
  </si>
  <si>
    <t>VINYL MASTIC TAPE, ROLL, 4" X 10' (4500-018)</t>
  </si>
  <si>
    <t>VINYL MASTIC TAPE, PAD, 4.25" X 3.25" (4500-019)</t>
  </si>
  <si>
    <t>TAP, SPLIT BOLT, CU, SERVIT, 2/0 (4500-020)</t>
  </si>
  <si>
    <t>LUG, GRNDG, 500 MCM-4 AWG (4500-021)</t>
  </si>
  <si>
    <t>LUG, GRNDG, 250 MCM-6 AWG (4500-022)</t>
  </si>
  <si>
    <t>JUMPER, UNISOLAR J-BOX (4500-023)</t>
  </si>
  <si>
    <t>LUG, GRNDG, 14 AWG-2/0 AWG (4500-024)</t>
  </si>
  <si>
    <t>LUG, GRNDG, 14 AWG-4 AWG (4500-025)</t>
  </si>
  <si>
    <t>LUG, GRNDG, 350 MCM-6 AWG, 4-POLE (4500-026)</t>
  </si>
  <si>
    <t>TIE, CABLE, PUSH MOUNT,5.2" L, NYLON,.187 HOLE DIA (4500-028)</t>
  </si>
  <si>
    <t>LUG, GRNDG, 14 AWG-6 AWG, CU,HVY DTY,TIN COAT (4500-029)</t>
  </si>
  <si>
    <t>LUG, GRNDG, 14 AWG-2 AWG, CU,HVY DTY,TIN COAT (4500-030)</t>
  </si>
  <si>
    <t>DATALOGGER, CAMPBELL CR10X (4550-011)</t>
  </si>
  <si>
    <t>PYRANOMETER, LICOR LI200X-L2 (4550-012)</t>
  </si>
  <si>
    <t>WIRE, 1 TWIST PR, CA 22AWG, SANTOPRENE JACKET, 1FT (4550-013)</t>
  </si>
  <si>
    <t>PROBE, TEMPERATURE, 107-L2 9661 (4550-014)</t>
  </si>
  <si>
    <t>SHIELD, RADIATION (4550-015)</t>
  </si>
  <si>
    <t>POWER SUPPLY, PS100 (4550-016)</t>
  </si>
  <si>
    <t>MODEM, COMM 220, W/ SC 12 RIBBON CABLE (4550-017)</t>
  </si>
  <si>
    <t>SURGE PROTECTOR, MODEM (4550-018)</t>
  </si>
  <si>
    <t>ANEMOMETER, W/ RUBBER TERMINAL BOOT, RM YOUNG SENTRY (4550-019)</t>
  </si>
  <si>
    <t>MODEM, SHORT HAUL, W/ BRACKET (4550-020)</t>
  </si>
  <si>
    <t>SOFTWARE, DATA MONITORING, REAL TIME (4550-021)</t>
  </si>
  <si>
    <t>INTERFACE, DCE, 9 PIN TO RS232 (4550-022)</t>
  </si>
  <si>
    <t>SOFTWARE, PC 208 (4550-023)</t>
  </si>
  <si>
    <t>CABLE, SERIAL, COMPUTER, 9PIN TO 25 PIN, 9FT (4550-026)</t>
  </si>
  <si>
    <t>SWITCH, DATA, 2-WAY SERIAL, W/ RIBBON CABLE (4550-027)</t>
  </si>
  <si>
    <t>CABLE, RIBBON, RS 232, 25 PIN TO 25 PIN SOCKETS (4550-028)</t>
  </si>
  <si>
    <t>BOOM, MNTG, 14'' STUB MAST W/ CLAMPS (4550-029)</t>
  </si>
  <si>
    <t>CHARGER, WALL, 18 V 1.2A, 6 FT (4550-030)</t>
  </si>
  <si>
    <t>LOGGER, ELITEPRO US, INDOOR, LOW MEMORY (4550-032)</t>
  </si>
  <si>
    <t>CT, SPLIT CORE, 100A, SMALL (3/4") (4550-033)</t>
  </si>
  <si>
    <t>PACKAGE, COM (4550-034)</t>
  </si>
  <si>
    <t>SOFTWARE, LOGGERNET (4550-035)</t>
  </si>
  <si>
    <t>FUSE, FAST-ACTING, 600V, 6A (4250-021)</t>
  </si>
  <si>
    <t>FUSE, DUAL ELEMENT, 600V, CLASS RK5, 350A (4250-022)</t>
  </si>
  <si>
    <t>FUSE, DUAL ELEMENT, 600V, CLASS RK5, 50A (4250-023)</t>
  </si>
  <si>
    <t>FUSE, DUAL ELEMENT, 600V, CLASS RK5, 20A (4250-024)</t>
  </si>
  <si>
    <t>FUSE, DUAL ELEMENT, 600V, CLASS RK5, 250A (4250-025)</t>
  </si>
  <si>
    <t>FUSE, DUAL ELEMENT, 600V, CLASS RK5, 80A (4250-026)</t>
  </si>
  <si>
    <t>FUSE, FAST-ACTING, 600V, 5A (4250-027)</t>
  </si>
  <si>
    <t>FUSE, DUAL ELEMENT, 600V, CLASS RK5, 110A (4250-028)</t>
  </si>
  <si>
    <t>FUSE, DUAL ELEMENT, 600V, CLASS RK5, 10A (4250-029)</t>
  </si>
  <si>
    <t>FUSE BLOCK, 600V 1/10 TO 30A, 3 POLE (4250-030)</t>
  </si>
  <si>
    <t>FUSE, FAST-ACTING, 600V, 30A (4250-031)</t>
  </si>
  <si>
    <t>FUSE, DUAL ELEMENT, 240V, CLASS RK5, 110A (4250-032)</t>
  </si>
  <si>
    <t>FUSE, DUAL ELEMENT, 240V, CLASS RK5, 20A (4250-033)</t>
  </si>
  <si>
    <t>FUSE, DUAL ELEMENT, 600V, CLASS RK5, 125A (4250-034)</t>
  </si>
  <si>
    <t>FUSE, DUAL ELEMENT, 600V, CLASS RK5, 400A (4250-035)</t>
  </si>
  <si>
    <t>FUSE, DUAL ELEMENT, 240V, CLASS RK5, 30A (4250-036)</t>
  </si>
  <si>
    <t>FUSE, DUAL ELEMENT, 240V, CLASS RK5, 150A (4250-037)</t>
  </si>
  <si>
    <t>FUSE BLOCK, 3-POLE, BOX LUG (4250-038)</t>
  </si>
  <si>
    <t>FUSE, FAST-ACTING, 600V, 4A (4250-039)</t>
  </si>
  <si>
    <t>FUSE, DUAL ELEMENT, 600V, CLASS RK5, 450A (4250-040)</t>
  </si>
  <si>
    <t>FUSE, DUAL ELEMENT, 240V, CLASS RK5, 175A (4250-041)</t>
  </si>
  <si>
    <t>FUSE BLOCK, 1-POLE, BOX LUG (4250-042)</t>
  </si>
  <si>
    <t>FUSE, DUAL ELEMENT, 600V, CLASS RK5, 200A (4250-043)</t>
  </si>
  <si>
    <t>FITTING, LIQUID-TIGHT,PG7,.25"WIRE DIA., W/NUT (4300-001)</t>
  </si>
  <si>
    <t>FITTING, LIQUID-TIGHT, PG 21, .709"WIRE DIA.,W/NUT (4300-002)</t>
  </si>
  <si>
    <t>FITTING,RACEWAY, PAN-WAY, TYPE T3, OFF-WHITE (4300-003)</t>
  </si>
  <si>
    <t>FITTING,RACEWAY, PAN-WAY, TYPE T3, WHITE (4300-004)</t>
  </si>
  <si>
    <t>CONNECTOR, PJOX, MC ARMORED CABLE, 1/2 NPT (4300-005)</t>
  </si>
  <si>
    <t>PLUG, VENT, 3/4", PLASTIC, WHITE (4300-006)</t>
  </si>
  <si>
    <t>CONDUIT, FLEX, 3/8", BLACK (4300-007)</t>
  </si>
  <si>
    <t>CLIP, CONDUIT, PLASTIC, 3/8" (4300-008)</t>
  </si>
  <si>
    <t>FITTING, LIQUID-TIGHT, .55" NPT (4300-009)</t>
  </si>
  <si>
    <t>NUT, LIQUID-TIGHT FITTING, 1/2 NPT (4300-010)</t>
  </si>
  <si>
    <t>HOLE-SEAL, .19-.88", 1.38" D, GALV STEEL, GASKETED (4300-011)</t>
  </si>
  <si>
    <t>FITTING, LIQUID-TIGHT, 3/8" NPT, BLACK (4300-012)</t>
  </si>
  <si>
    <t>SEAL, KNOCK-OUT, LIQUID-TIGHT, .875", SANTOPRENE (4300-013)</t>
  </si>
  <si>
    <t>PLUG, KNOCK-OUT, GASKETED, 3/4", GALV (4300-014)</t>
  </si>
  <si>
    <t>FITTING, LIQUID-TIGHT, PG 9, .312"WIRE DIA.,W/NUT (4300-015)</t>
  </si>
  <si>
    <t>PLUG, HEX SOCKET, 3/8" NPTF, ZN-PLATED STEEL (4300-016)</t>
  </si>
  <si>
    <t>PLUG, HEX HEAD, 3/8" NPT, NYLON (4300-017)</t>
  </si>
  <si>
    <t>SUPPORT, COND, 6" FOAM, 13/16" GALV 14 GA STRUT (4300-018)</t>
  </si>
  <si>
    <t>ELBOW, 90 DEG LONG, GALV RIGID CONDUIT, 1" (4300-019)</t>
  </si>
  <si>
    <t>COUPLING, CONDUIT, RIGID, 1", 3 PC UNION, GALV (4300-020)</t>
  </si>
  <si>
    <t>CONNECTOR, HUB, WATERTIGHT, RIGID, 1", AL (4300-021)</t>
  </si>
  <si>
    <t>NIPPLE, CLOSE, THREADED, 1.5" LG, 1" RIGID (4300-022)</t>
  </si>
  <si>
    <t>BUSHING, PLASTIC, INSULATING, RIGID 1" CONDUIT (4300-023)</t>
  </si>
  <si>
    <t>FITTING, LB PULLING, THREADED RIGID AL, 1" (4300-024)</t>
  </si>
  <si>
    <t>ELBOW, 90 DEG LONG, GALV, RIGID CONDUIT, 1.5" (4300-025)</t>
  </si>
  <si>
    <t>COUPLING, CONDUIT, RIGID, 1.5", 3 PC UNION, GALV (4300-026)</t>
  </si>
  <si>
    <t>CONNECTOR, HUB, WATERTIGHT, RIGID, 1.5", AL (4300-027)</t>
  </si>
  <si>
    <t>FITTING, LB PULLING, THREADED RIGID AL, 1.5" (4300-028)</t>
  </si>
  <si>
    <t>NIPPLE, CLOSE, THREADED, 1.75" LG, 1.5" RIGID (4300-029)</t>
  </si>
  <si>
    <t>BUSHING, PLASTIC, INSULATING, RIGID 1.5" CONDUIT (4300-030)</t>
  </si>
  <si>
    <t>ELBOW, 90 DEG LONG, GALV RIGID CONDUIT, 2" (4300-031)</t>
  </si>
  <si>
    <t>COUPLING, CONDUIT, RIGID, 2", 3 PC UNION, GALV (4300-032)</t>
  </si>
  <si>
    <t>CONNECTOR, HUB, WATERTIGHT, RIGID, 2", AL (4300-033)</t>
  </si>
  <si>
    <t>FITTING, LB PULLING, THREADED RIGID AL, 2" (4300-034)</t>
  </si>
  <si>
    <t>NIPPLE, CLOSE, THREADED, 2" LG, 2" RIGID (4300-035)</t>
  </si>
  <si>
    <t>BUSHING, PLASTIC, INSULATING, RIGID 2" CONDUIT (4300-036)</t>
  </si>
  <si>
    <t>ELBOW, 90 DEG LONG, GALV RIGID CONDUIT, 2.5" (4300-037)</t>
  </si>
  <si>
    <t>COUPLING, CONDUIT, RIGID, 2.5", 3 PC UNION, GALV (4300-038)</t>
  </si>
  <si>
    <t>CONNECTOR, HUB, WATERTIGHT, RIGID, 2.5", AL (4300-039)</t>
  </si>
  <si>
    <t>FITTING, LB PULLING, THREADED RIGID AL, 2.5" (4300-040)</t>
  </si>
  <si>
    <t>NIPPLE, CLOSE, THREADED, 2.5" LG 2.5" RIGID (4300-041)</t>
  </si>
  <si>
    <t>BUSHING, PLASTIC, INSULATING, RIGID 2.5" CONDUIT (4300-042)</t>
  </si>
  <si>
    <t>SUPPORT, COND, 4" FOAM, 13/16" GALV 14 GA STRUT (4300-043)</t>
  </si>
  <si>
    <t>ELBOW, 90 DEG., LONG 1" RIGID STEEL CONDUIT (4300-044)</t>
  </si>
  <si>
    <t>ELBOW, PULLING, 1" RIGID STEEL CONDUIT (4300-045)</t>
  </si>
  <si>
    <t>COUPLING, 3-PIECE, 1" RIGID STEEL CONDUIT (4300-046)</t>
  </si>
  <si>
    <t>HUB, 1" RIGID CONDUIT (4300-047)</t>
  </si>
  <si>
    <t>NIPPLE, 1.5" LENGTH, 1" RIGID STEEL CONDUIT (4300-048)</t>
  </si>
  <si>
    <t>FITTING, LR PULLING, AL, 1" RIGID CONDUIT (4300-049)</t>
  </si>
  <si>
    <t>FITTING, LR PULLING, AL, 1.5" RIGID CONDUIT (4300-050)</t>
  </si>
  <si>
    <t>FITTING, LR PULLING, AL, 2" RIGID CONDUIT (4300-051)</t>
  </si>
  <si>
    <t>FITTING, LR PULLING, AL, 2.5" RIGID CONDUIT (4300-052)</t>
  </si>
  <si>
    <t>COVER, LR/LL/LB, AL, 1" RIGID CONDUIT (4300-053)</t>
  </si>
  <si>
    <t>COVER, LR/LL/LB, AL, 1.5" RIGID CONDUIT (4300-054)</t>
  </si>
  <si>
    <t>COVER, LR/LL/LB, AL, 2" RIGID CONDUIT (4300-055)</t>
  </si>
  <si>
    <t>COVER, LR/LL/LB, AL, 2.5" RIGID CONDUIT (4300-056)</t>
  </si>
  <si>
    <t>GASKET, LR/LL/LB, RUBBER, 1" RIGID CONDUIT (4300-057)</t>
  </si>
  <si>
    <t>GASKET, LR/LL/LB, RUBBER, 1.5" RIGID CONDUIT (4300-058)</t>
  </si>
  <si>
    <t>GASKET, LR/LL/LB, RUBBER, 2" RIGID CONDUIT (4300-059)</t>
  </si>
  <si>
    <t>GASKET, LR/LL/LB, RUBBER, 2.5" RIGID CONDUIT (4300-060)</t>
  </si>
  <si>
    <t>NIPPLE, 4" LENGTH, AL, 1" RIGID CONDUIT (4300-061)</t>
  </si>
  <si>
    <t>NIPPLE, 4" LENGTH, AL, 1.5" RIGID CONDUIT (4300-062)</t>
  </si>
  <si>
    <t>NIPPLE, 3" LENGTH, AL, 2" RIGID CONDUIT (4300-063)</t>
  </si>
  <si>
    <t>NIPPLE, 3" LENGTH, AL, 2.5" RIGID CONDUIT (4300-064)</t>
  </si>
  <si>
    <t>WASHER, SEALING, LIQUID-TIGHT, 1/2" NPT (4300-065)</t>
  </si>
  <si>
    <t>CONDUIT, PVC SCHEDULE 40, 1.5" X 10 FT. (4300-066)</t>
  </si>
  <si>
    <t>CONDUIT, PVC SCHEDULE 40, 2" X 10 FT. (4300-067)</t>
  </si>
  <si>
    <t>CONDUIT, PVC SCHEDULE 40, 2.5" X 10 FT. (4300-068)</t>
  </si>
  <si>
    <t>ADAPTER, NPT MALE, PVC SCHEDULE 40, 1.5" (4300-069)</t>
  </si>
  <si>
    <t>ADAPTER, NPT MALE, PVC SCHEDULE 40, 2" (4300-070)</t>
  </si>
  <si>
    <t>ADAPTER, NPT MALE, PVC SCHEDULE 40, 2.5" (4300-071)</t>
  </si>
  <si>
    <t>ADAPTER, NPT FEMALE, PVC SCHEDULE 40, 1.5" (4300-072)</t>
  </si>
  <si>
    <t>ADAPTER, NPT FEMALE, PVC SCHEDULE 40, 2" (4300-073)</t>
  </si>
  <si>
    <t>ADAPTER, NPT FEMALE, PVC SCHEDULE 40, 2.5" (4300-074)</t>
  </si>
  <si>
    <t>LOCKNUT, PVC SCHEDULE 40, 1.5" (4300-075)</t>
  </si>
  <si>
    <t>LOCKNUT, PVC SCHEDULE 40, 2" (4300-076)</t>
  </si>
  <si>
    <t>LOCKNUT, PVC SCHEDULE 40, 2.5" (4300-077)</t>
  </si>
  <si>
    <t>CEMENT, PVC, LOW-VOC, GRAY (4300-078)</t>
  </si>
  <si>
    <t>LOCKNUT, STEEL, RIGID CONDUIT, 1" (4300-081)</t>
  </si>
  <si>
    <t>LOCKNUT, STEEL, RIGID CONDUIT, 1.5" (4300-082)</t>
  </si>
  <si>
    <t>LOCKNUT, STEEL, RIGID CONDUIT, 2" (4300-083)</t>
  </si>
  <si>
    <t>LOCKNUT, STEEL, RIGID CONDUIT, 2.5" (4300-084)</t>
  </si>
  <si>
    <t>RUNNING THREAD, 1" RIGID AL CONDUIT, 5" LG (4300-085)</t>
  </si>
  <si>
    <t>RUNNING THREAD, 1.5" RIGID AL CONDUIT, 4" LG (4300-086)</t>
  </si>
  <si>
    <t>RUNNING THREAD, 2" RIGID AL CONDUIT, 3" LG (4300-087)</t>
  </si>
  <si>
    <t>RUNNING THREAD, 2.5" RIGID AL CONDUIT, 3" LG (4300-088)</t>
  </si>
  <si>
    <t>TAPE, TEFLON THREAD SEALANT, 1" WIDTH X 50 FT. (4300-089)</t>
  </si>
  <si>
    <t>PUNCH, KNOCKOUT, STANDARD ROUND, 2.5" (4300-090)</t>
  </si>
  <si>
    <t>CONNECTOR, COMPRESSION, INSULATED, 1" EMT (4300-091)</t>
  </si>
  <si>
    <t>CONNECTOR, COMPRESSION, INSULATED, 1.5" EMT (4300-092)</t>
  </si>
  <si>
    <t>CONNECTOR, COMPRESSION, INSULATED, 2" EMT (4300-093)</t>
  </si>
  <si>
    <t>CONNECTOR, COMPRESSION, INSULATED, 2.5" EMT (4300-094)</t>
  </si>
  <si>
    <t>CONDUIT, RIGID, STEEL, GALV, 2.5", 10-FT LENGTH (4300-095)</t>
  </si>
  <si>
    <t>CONNECTOR, LIQUID-TIGHT, FMC, INSULATED, 2.5" (4300-096)</t>
  </si>
  <si>
    <t>CONDUIT, FLEXIBLE METAL, LIQUID-TIGHT, 2.5", FT. (4300-097)</t>
  </si>
  <si>
    <t>CONDUIT, RIGID, STEEL, GALV, 2", 10-FT LENGTH (4300-098)</t>
  </si>
  <si>
    <t>COUPLING, THREADED, RIGID CONDUIT, GALV, 1" (4300-099)</t>
  </si>
  <si>
    <t>COUPLING, THREADED, RIGID CONDUIT, GALV, 1.5" (4300-100)</t>
  </si>
  <si>
    <t>COUPLING, THREADED, RIGID CONDUIT, GALV, 2" (4300-101)</t>
  </si>
  <si>
    <t>COUPLING, THREADED, RIGID CONDUIT, GALV, 2.5" (4300-102)</t>
  </si>
  <si>
    <t>LOCKNUT, STEEL, GROUNDING, 1" (4300-103)</t>
  </si>
  <si>
    <t>LOCKNUT, STEEL, GROUNDING, 1.5" (4300-104)</t>
  </si>
  <si>
    <t>LOCKNUT, STEEL, GROUNDING, 2" (4300-105)</t>
  </si>
  <si>
    <t>LOCKNUT, STEEL, GROUNDING, 2.5" (4300-106)</t>
  </si>
  <si>
    <t>CONDUIT, PVC SCHEDULE 40, WHITE, 2" X 10 FT. (4300-107)</t>
  </si>
  <si>
    <t>ADAPTER, BOX, PVC SCHEDULE 40, 1" (4300-108)</t>
  </si>
  <si>
    <t>ADAPTER, BOX, PVC SCHEDULE 40, 1.5" (4300-109)</t>
  </si>
  <si>
    <t>ADAPTER, BOX, PVC SCHEDULE 40, 2" (4300-110)</t>
  </si>
  <si>
    <t>ADAPTER, BOX, PVC SCHEDULE 40, 2.5" (4300-111)</t>
  </si>
  <si>
    <t>COUPLING, PVC SCHEDULE 40, 1" (4300-112)</t>
  </si>
  <si>
    <t>COUPLING, PVC SCHEDULE 40, 1.5" (4300-113)</t>
  </si>
  <si>
    <t>COUPLING, PVC SCHEDULE 40, 2" (4300-114)</t>
  </si>
  <si>
    <t>COUPLING, PVC SCHEDULE 40, 2.5" (4300-115)</t>
  </si>
  <si>
    <t>ADAPTER, NPT FEMALE, PVC SCHEDULE 40, 1" (4300-116)</t>
  </si>
  <si>
    <t>CONDUIT, PVC SCHEDULE 40, 1" X 10 FT. (4300-117)</t>
  </si>
  <si>
    <t>HANDLE, DC DISCONNECT SWITCH (4350-001)</t>
  </si>
  <si>
    <t>HANDLE, AC DISCONNECT SWITCH (4350-002)</t>
  </si>
  <si>
    <t>DECAL, DANGER, 25KVA INVERTER DOOR BOTTOM (4350-003)</t>
  </si>
  <si>
    <t>INVERTER, PV5208, 5KVA, W/ LED (4350-004)</t>
  </si>
  <si>
    <t>INVERTER, PV10208, 10KVA (4350-005)</t>
  </si>
  <si>
    <t>INVERTER, PV15208, 15KVA (4350-006)</t>
  </si>
  <si>
    <t>INVERTER, PV20208, 20KVA (4350-007)</t>
  </si>
  <si>
    <t>TRANSFORMER, ISOLATION, 5KVA, 208Y:208Y (4350-008)</t>
  </si>
  <si>
    <t>TRANSFORMER, ISOLATION, 5KVA, 208Y:480Y (4350-009)</t>
  </si>
  <si>
    <t>TRANSFORMER, ISOLATION, 10KVA, 208Y:208Y (4350-010)</t>
  </si>
  <si>
    <t>TRANSFORMER, ISOLATION, 10KVA, 208Y:480Y (4350-011)</t>
  </si>
  <si>
    <t>TRANSFORMER, ISOLATION, 15KVA, 208Y:208Y (4350-012)</t>
  </si>
  <si>
    <t>TRANSFORMER, ISOLATION, 15KVA, 208Y:480Y (4350-013)</t>
  </si>
  <si>
    <t>TRANSFORMER, ISOLATION, 20KVA, 208Y:208Y (4350-014)</t>
  </si>
  <si>
    <t>TRANSFORMER, ISOLATION, 20KVA, 208Y:480Y (4350-015)</t>
  </si>
  <si>
    <t>DISCONNECT, AC/DC, LOAD-BREAK, 30A (4350-016)</t>
  </si>
  <si>
    <t>DISCONNECT, AC/DC, LOAD-BREAK, 60A (4350-017)</t>
  </si>
  <si>
    <t>DISCONNECT, AC/DC, LOAD-BREAK, 100A (4350-018)</t>
  </si>
  <si>
    <t>DISCONNECT, AC/DC, LOAD-BREAK, 10A (4350-019)</t>
  </si>
  <si>
    <t>TRANSFORMER, ISOLATION, 30KVA, 208Y:208Y (4350-020)</t>
  </si>
  <si>
    <t>TRANSFORMER, ISOLATION, 30KVA, 208D:480Y (4350-021)</t>
  </si>
  <si>
    <t>SWITCH, SAFETY, 200A, 240V, NEMA 1, FUSED (4400-001)</t>
  </si>
  <si>
    <t>SWITCH, SAFETY, 30A, 240V, NEMA 3R, FUSED (4400-002)</t>
  </si>
  <si>
    <t>SWITCH, SAFETY, 60A, 600V, NEMA 1, FUSED (4400-003)</t>
  </si>
  <si>
    <t>SWITCH, SAFETY, 200A, 600V, NEMA 1, FUSED (4400-004)</t>
  </si>
  <si>
    <t>SWITCH, SAFETY, 200A, 600VDC, NEMA 3R, 3-POLE, FUSED (4400-005)</t>
  </si>
  <si>
    <t>SWITCH, SAFETY, 30A, 600V, NEMA 1, FUSED (4400-006)</t>
  </si>
  <si>
    <t>SWITCH, SAFETY, 30A, 600V, NEMA 3R, FUSED (4400-007)</t>
  </si>
  <si>
    <t>SWITCH, SAFETY, 200A, 240V, NEMA 1,NON-FUSED (4400-008)</t>
  </si>
  <si>
    <t>SWITCH, SAFETY, 30A, 240V, NEMA 3R, NON-FUSED (4400-009)</t>
  </si>
  <si>
    <t>SWITCH, SAFETY, 60A, 600V, NEMA 1, NON-FUSED (4400-010)</t>
  </si>
  <si>
    <t>SWITCH, SAFETY, 200A, 600V, NEMA 1, NON-FUSED (4400-011)</t>
  </si>
  <si>
    <t>SWITCH, SAFETY, 200A, 600VDC, NEMA 3R, 3-POLE, NON-FUSED (4400-012)</t>
  </si>
  <si>
    <t>SWITCH, SAFETY, 30A, 600V, NEMA 1, NON-FUSED (4400-013)</t>
  </si>
  <si>
    <t>SWITCH, SAFETY, 30A, 600V, NEMA 3R, NON-FUSED (4400-014)</t>
  </si>
  <si>
    <t>SWITCH, SAFETY, 60A, 240V, NEMA 1, NON-FUSED (4400-015)</t>
  </si>
  <si>
    <t>SWITCH, SAFETY, 400A, 240V, NEMA 1, NON-FUSED (4400-016)</t>
  </si>
  <si>
    <t>SWITCH, SAFETY, 400A, 600V, NEMA 1, NON-FUSED (4400-017)</t>
  </si>
  <si>
    <t>SWITCH, SAFETY, 60A, 600V, NEMA 3R, FUSED (4400-018)</t>
  </si>
  <si>
    <t>SWITCH, SAFETY, 400A, 600V, NEMA 1, FUSED (4400-019)</t>
  </si>
  <si>
    <t>NEUTRAL ASSEMBLY, SWITCH, SAFETY, 400A, 600V (4400-020)</t>
  </si>
  <si>
    <t>CT, SPLIT CORE, 200A, MEDIUM (1.25") (4550-036)</t>
  </si>
  <si>
    <t>CT, SPLIT CORE, 15A, SMALL (3/4") (4550-037)</t>
  </si>
  <si>
    <t>CABLE, DATA, 25PIN MALE TO 25PIN MALE, 5FT (4550-038)</t>
  </si>
  <si>
    <t>INTERFACE, SC 32A, ISOLATED RS-232 (4550-043)</t>
  </si>
  <si>
    <t>CT, SPLIT CORE, 150A, MEDIUM (1.25") (4550-044)</t>
  </si>
  <si>
    <t>INTERFACE, NL 100 NETWORK LINK (4550-048)</t>
  </si>
  <si>
    <t>PROBE, THERMOCOUPLE, TYPE T (4550-049)</t>
  </si>
  <si>
    <t>THERMISTER, CR10X THERMOCOUPLE REFERENCE (4550-050)</t>
  </si>
  <si>
    <t>METER &amp; PULSER, ECON, SINGLE PHASE, 120V, 25A (4550-051)</t>
  </si>
  <si>
    <t>LED DISPLAY, DATALOGGER, 2" CHAR, 2 LINES, 13 CHAR (4550-052)</t>
  </si>
  <si>
    <t>COMPUTER, CPQ,  8/1.7G, 40GB, W2K (4560-001)</t>
  </si>
  <si>
    <t>MODEM, USR 56K, V.90, PCI PRO (4560-002)</t>
  </si>
  <si>
    <t>MOUSE, MS WHEEL, OPTICAL (4560-003)</t>
  </si>
  <si>
    <t>MONITOR, VIEWSONIC OPTIQUEST, Q51 15IN 10X7 (4560-004)</t>
  </si>
  <si>
    <t>PVM, FR, SCHO, ASE-300, 300 WP, 50V, IEC, W/MC (4900-040)</t>
  </si>
  <si>
    <t>MIXTURE, SAND/CEMENT, MIX #1629-1 (5050-001)</t>
  </si>
  <si>
    <t>LATEX, LIQUID, 55 GAL (475LB) DRUM (5051-001)</t>
  </si>
  <si>
    <t>DEFOAMER (5051-002)</t>
  </si>
  <si>
    <t>RIVET, BULBTITE, 1/4 X 5/8L, W/ WASHER (5100-002)</t>
  </si>
  <si>
    <t>SCREW, PH, 8-32 X 3/8, ZN (5100-003)</t>
  </si>
  <si>
    <t>NUT, TOOTHED WASHER, 8-32, PKG.100 (5100-004)</t>
  </si>
  <si>
    <t>SCREW, PH, 10-24X3/4, ZN (5100-005)</t>
  </si>
  <si>
    <t>NUT, TOOTHED WASHER, 10-24, ZN (5100-006)</t>
  </si>
  <si>
    <t>TIE, CABLE, 4" X .100", NYLON, NATURAL (5100-007)</t>
  </si>
  <si>
    <t>EYEBOLT, FORGED, 1/4 X 6" LONG, GALVY (5100-008)</t>
  </si>
  <si>
    <t>WASHER, FENDER, 1/4, 1"OD, ZN (5100-009)</t>
  </si>
  <si>
    <t>NUT, HEX, 1/4-20, ZN (5100-010)</t>
  </si>
  <si>
    <t>RIVET, BLIND, FLANGE HEAD, 3/16 X .125L, STEEL (5100-011)</t>
  </si>
  <si>
    <t>SLEEVE, WIRE ROPE, OVAL, 1/8", AL (5100-013)</t>
  </si>
  <si>
    <t>SCREW, S-D, HH, 6 X 3/4, ZN (5100-014)</t>
  </si>
  <si>
    <t>SCREW, MACHINE, PH, 1/4-20 X 3/4", ZN (5100-015)</t>
  </si>
  <si>
    <t>WASHER, LOCK, 1/4, ZN (5100-017)</t>
  </si>
  <si>
    <t>SCREW, FH, PHIL, 6 X 1/2, PLASTITE (5100-018)</t>
  </si>
  <si>
    <t>SCREW, BUTTON SOCKET, 1/4-20 X3/4, SS (5100-019)</t>
  </si>
  <si>
    <t>SCREW, BUTTON SOCKET, 1/4-20 X7/8, SS (5100-020)</t>
  </si>
  <si>
    <t>NUT, HEX, 1/4-20, ZN, NYLON INSERT (5100-021)</t>
  </si>
  <si>
    <t>WASHER, 1/4, ZN, NEOPRENE (5100-022)</t>
  </si>
  <si>
    <t>SCREW, S-D, HH, SLOT, 1/4-20 X 5/8 (5100-023)</t>
  </si>
  <si>
    <t>WASHER, FLAT, 1/4-20, PLATED (5100-024)</t>
  </si>
  <si>
    <t>SCREW, FH, PHIL, 10 X 1/2, PLASTITE (5100-025)</t>
  </si>
  <si>
    <t>SCREW, CAP, HH, 1/2-13 X 1.5, 18-8SS (5100-026)</t>
  </si>
  <si>
    <t>WASHER, FLAT, 1/2, 18-8SS (5100-027)</t>
  </si>
  <si>
    <t>WASHER, LOCK, 1/2, 18-8SS (5100-028)</t>
  </si>
  <si>
    <t>NUT, CHANNEL, 1/2-13, STAINLESS (5100-029)</t>
  </si>
  <si>
    <t>SCREW, SM, HWH, 1/4-14 X 3/4, SEALING WASHER (5100-030)</t>
  </si>
  <si>
    <t>SCREW, S-D, #3 PT, HWH, 1/4-14 X 3/4, SEALING (5100-031)</t>
  </si>
  <si>
    <t>SCREW, PH, 1/4-20 X 1", ZN (5100-032)</t>
  </si>
  <si>
    <t>NUT, TOOTHED WASHER, 1/4-20, ZN (5100-033)</t>
  </si>
  <si>
    <t>SCREW, PH, 10 X 3/4, PLASTITE (5100-034)</t>
  </si>
  <si>
    <t>WASHER, FENDER, 1/4, 1" OD, GALV (5100-035)</t>
  </si>
  <si>
    <t>NUT, HEX, 1/4-20, GALVY (5100-036)</t>
  </si>
  <si>
    <t>SCREW, PH, 10 X 5/8, PLASTITE (5100-037)</t>
  </si>
  <si>
    <t>SCREW, S-D, HWH, 12 X 3/4, SS (5100-038)</t>
  </si>
  <si>
    <t>SCREW, S-D, HWH, 12 X 1, SS (5100-040)</t>
  </si>
  <si>
    <t>SCREW, PH,  8-32 X 3/4, ZN (5100-041)</t>
  </si>
  <si>
    <t>NUT, TEE, 1/4-20 (5100-042)</t>
  </si>
  <si>
    <t>SCREW, S-D, HH, 6 X 1/2, ZN (5100-043)</t>
  </si>
  <si>
    <t>SCREW, PH, 1/4-20 X 1/2, ZN (5100-044)</t>
  </si>
  <si>
    <t>SCREW, RH, 3/8-16 X 1, ZN (5100-046)</t>
  </si>
  <si>
    <t>WASHER, FENDER, 3" OD, 304SS (5100-048)</t>
  </si>
  <si>
    <t>SCREW, S-T, #3 PT,  PH, 12 X 3.75, ROOFGRIP (5100-049)</t>
  </si>
  <si>
    <t>SCREW, PH, 8-32 X 1/2, 18-8SS (5100-050)</t>
  </si>
  <si>
    <t>SCREW, S-D, #3 PT, HWH, 12-14 X 1, SEALING WASHER (5100-051)</t>
  </si>
  <si>
    <t>SCREW, FH, PHIL, 8-32 X1 (5100-052)</t>
  </si>
  <si>
    <t>SCREW, S-D, #2 PT, PH, 10-16 X 1/2, 410SS (5100-053)</t>
  </si>
  <si>
    <t>PIN, DOWEL, 18-8 STAINLESS STEEL, M10 X 40 (5100-054)</t>
  </si>
  <si>
    <t>SCREW, SET, SQH, 3/8 X 2, 18-8SS, CUP PT (5100-055)</t>
  </si>
  <si>
    <t>BOLT, HH, 3/8-16 X 1", 18-8SS (5100-056)</t>
  </si>
  <si>
    <t>NUT, HEX, NYLOC, 3/8-16, 18-8 SS (5100-057)</t>
  </si>
  <si>
    <t>WASHER, FLAT, 3/8, 18-8SS (5100-058)</t>
  </si>
  <si>
    <t>WASHER, 3/8, ZN, NEOPRENE (5100-059)</t>
  </si>
  <si>
    <t>SCREW, HH, 1/4-20 X 1", 18-8SS (5100-060)</t>
  </si>
  <si>
    <t>NUT, HEX, NYLOC, 1/4-20, 18-8 SS (5100-061)</t>
  </si>
  <si>
    <t>WASHER, FLAT, 1/4, 18-8SS (5100-062)</t>
  </si>
  <si>
    <t>WASHER, 1/4, EPDM (5100-063)</t>
  </si>
  <si>
    <t>SCREW, S-D, TYPE CSD, HH, 8 X 1/2, 18-8SS (5100-064)</t>
  </si>
  <si>
    <t>BOLT, ELEVATOR, 3/8-16 X 1-1/2, 18-8SS (5100-065)</t>
  </si>
  <si>
    <t>NUT, BARREL, 1/4-20 X 3/4L, SLOTTED, 18-8SS (5100-066)</t>
  </si>
  <si>
    <t>NUT, SOCKET, 3/8-16, 12-PT., 18-8SS (5100-067)</t>
  </si>
  <si>
    <t>WASHER, FLAT, 13/32 ID, 1-1/4 OD, .050 THIC (5100-068)</t>
  </si>
  <si>
    <t>SCREW, S-D, HH, 6 X 3/4, 410SS (5100-070)</t>
  </si>
  <si>
    <t>SCREW, PH, SLOT, 10-32 X 1/2, SS (5100-071)</t>
  </si>
  <si>
    <t>WASHER, FLAT, 10, SS (5100-072)</t>
  </si>
  <si>
    <t>SCREW, PH, 6-32 X 1/2, SS (5100-073)</t>
  </si>
  <si>
    <t>NUT, HEX, 10-32, 18-8 SS (5100-074)</t>
  </si>
  <si>
    <t>SCREW, PH, SLOT, 1/4-20 X 1/2, 18-8SS (5100-075)</t>
  </si>
  <si>
    <t>BOLT, ELEVATOR, 3/8-16 X 1-3/4, 18-8SS (5100-076)</t>
  </si>
  <si>
    <t>PLUG, FINISHING, 11/16 DIA, LOCKING, NYLON, BLACK (5100-077)</t>
  </si>
  <si>
    <t>PLUG, SQUARE, 1"TUBE, .870 TUBE ID, PE, BLACK (5100-078)</t>
  </si>
  <si>
    <t>SCREW, CAP, BH, 1/4-20 X 1/2, 18-8SS (5100-079)</t>
  </si>
  <si>
    <t>SCREW, CAP, BH, 1/4-20 X 1-1/2, 18-8SS (5100-080)</t>
  </si>
  <si>
    <t>SCREW, MACHINE, PH, 1/4-20 X 1.5, 18-8SS (5100-081)</t>
  </si>
  <si>
    <t>NUT, STRUT, SPRING, 1/4-20, GALV STEEL (5100-082)</t>
  </si>
  <si>
    <t>SCREW, MACHINE, PH, 1/4-20 X 5/8, 18-8SS (5100-083)</t>
  </si>
  <si>
    <t>NUT, HEX, 1/4-20, 18-8 SS (5100-084)</t>
  </si>
  <si>
    <t>SCREW, MACHINE, PH, 3/8-16 X 0.75, 18-8SS (5100-085)</t>
  </si>
  <si>
    <t>NUT, HEX, 3/8-16, 18-8 SS (5100-086)</t>
  </si>
  <si>
    <t>WASHER, LOCK, EXT. TOOTH, 3/8, 0.7 OD, 410SS (5100-087)</t>
  </si>
  <si>
    <t>BOLT, ANCHOR STUD, 3/8" X 3-3/4", HILTI KWIK II (5100-088)</t>
  </si>
  <si>
    <t>NUT, CHANNEL, W/ SPRING, 1/4-20, ZN (5100-089)</t>
  </si>
  <si>
    <t>SCREW, MACHINE, FILLH, 1/4-20 X 3, ZN (5100-090)</t>
  </si>
  <si>
    <t>SCREW, MACHINE, PH, 5/16-18 X 5/8, ZN (5100-091)</t>
  </si>
  <si>
    <t>NUT, TOOTHED WASHER, 5/16-18, ZN (5100-092)</t>
  </si>
  <si>
    <t>SCREW, S-D, #3 PT, HWH, 12-14 X 3 (5100-093)</t>
  </si>
  <si>
    <t>WASHER, SPLIT, 10, ZN (5100-094)</t>
  </si>
  <si>
    <t>WASHER, LOCK, SPLIT, 8, ZN (5100-095)</t>
  </si>
  <si>
    <t>SCREW, MACHINE, PH, 1/4-20 X 3/4, ZN (5100-096)</t>
  </si>
  <si>
    <t>SCREW, MACHINE, PH, 1/4-20 X 3/8, ZN (5100-097)</t>
  </si>
  <si>
    <t>SCREW, MACHINE, RH, 3/8-16 X 0.75, ZN (5100-098)</t>
  </si>
  <si>
    <t>NUT, STRUT, 3/8-16, GALV STEEL (5100-099)</t>
  </si>
  <si>
    <t>WASHER, FLAT, 3/8 ID, 1" OD, ZN (5100-100)</t>
  </si>
  <si>
    <t>SCREW, MACHINE, RH, 3/8-16 X 1, ZN (5100-101)</t>
  </si>
  <si>
    <t>NUT, HEX, 3/8-16, ZN (5100-102)</t>
  </si>
  <si>
    <t>SCREW, MACHINE, PH, 1/4-20 X 5/8, ZN (5100-103)</t>
  </si>
  <si>
    <t>SCREW, MACHINE, FH, 1/4-20 X 0.75, ZN (5100-104)</t>
  </si>
  <si>
    <t>SCREW, CAP, 1/2-20 X 0.75", ZN (5100-105)</t>
  </si>
  <si>
    <t>NUT, HEX, 1/2-20, ZN, GR 8 (5100-106)</t>
  </si>
  <si>
    <t>WASHER, SQUARE, 1/4, 2" X 2" X 1/4" THICK, ZN (5100-107)</t>
  </si>
  <si>
    <t>NUT, STRUT, W/SPRING, 1/4-20, GALV STEEL (5100-108)</t>
  </si>
  <si>
    <t>SCREW, MACHINE, PH, 1/4-20 X 1, ZN (5100-109)</t>
  </si>
  <si>
    <t>NUT, HEX, #1/4-20, ZN (5100-110)</t>
  </si>
  <si>
    <t>EYEBOLT, FORGED, 1/4 X 6" LONG, SS (5100-111)</t>
  </si>
  <si>
    <t>RIVET, BLIND, FLANGE HEAD, 3/16 X .125L,  SS (5100-112)</t>
  </si>
  <si>
    <t>WIRE ROPE, 1/8", SS, 7X19 (5100-113)</t>
  </si>
  <si>
    <t>SLEEVE, WIRE ROPE, OVAL, 1/8", SS (5100-114)</t>
  </si>
  <si>
    <t>WASHER, FENDER, 1/4, 1" OD, SS (5100-115)</t>
  </si>
  <si>
    <t>SCREW, S-D, HWH, #6 X 1/2, #2 PT, 410SS (5100-117)</t>
  </si>
  <si>
    <t>WASHER, LOCK, EXT. TOOTH, 6, 410 SS (5100-118)</t>
  </si>
  <si>
    <t>SCREW, PH, SLOT, M6 X 1 X 12, 18-8 SS (5100-141)</t>
  </si>
  <si>
    <t>NUT, CHANNEL, W/ SPRING, 3/8-16,SS (5100-142)</t>
  </si>
  <si>
    <t>SCREW, MACHINE, PH, PHIL, M4 X 20MM, 18-8SS (5100-143)</t>
  </si>
  <si>
    <t>WASHER, FLAT, 1/4, 0.5 OD, 18-8SS (5100-144)</t>
  </si>
  <si>
    <t>TRACK, 20 FT. LENGTH, TILETRAC (5110-001)</t>
  </si>
  <si>
    <t>T-NUT, TILETRAC (5110-002)</t>
  </si>
  <si>
    <t>CLIP, FRAME, TILETRAC (5110-003)</t>
  </si>
  <si>
    <t>CLIP, FRAME, END, TILETRAC (5110-004)</t>
  </si>
  <si>
    <t>CLAMP, BEAM, 1-5/8" CHANNEL (5110-005)</t>
  </si>
  <si>
    <t>CLAMP, PIPE, 1-5/8" CHANNEL, 4.5" OD (5110-007)</t>
  </si>
  <si>
    <t>BRACKET, 2-HOLE Z-SUPPORT, 3.5"L, ZN (5110-008)</t>
  </si>
  <si>
    <t>BOARD, XPS, 48.125" X 96.25" X 2", "PANEL CORE 30" (5200-001)</t>
  </si>
  <si>
    <t>BOARD, XPS, 50.5" X 128.5" X 2", "PANEL CORE 30" (5200-002)</t>
  </si>
  <si>
    <t>BOARD, XPS, 48.125" X 96.25" X 3", "PANEL CORE 40" (5200-003)</t>
  </si>
  <si>
    <t>BOARD, XPS, 12" X 12" X 1" THICK, "PANEL CORE 20" (5200-004)</t>
  </si>
  <si>
    <t>BOARD, XPS, 42" X 128.5" X 2", "PANEL CORE 30" (5200-005)</t>
  </si>
  <si>
    <t>ADHESIVE, POLYURETHANE, 5 GAL PAIL (5250-001)</t>
  </si>
  <si>
    <t>ADHESIVE, SEALANT, RTV 832 (OBSOLETE-SEE 125682)</t>
  </si>
  <si>
    <t>TAPE, DOUBLE-STICK, 3/4" (5250-003)</t>
  </si>
  <si>
    <t>TAPE, DOUBLE-STICK, VHB (5250-005)</t>
  </si>
  <si>
    <t>POTTANT, RTV (5250-006)</t>
  </si>
  <si>
    <t>TAPE, SILICONE SEALING (5250-007)</t>
  </si>
  <si>
    <t>SEALANT, DUCT, ASBESTOS-FREE (5250-009)</t>
  </si>
  <si>
    <t>ADHESIVE, POLYURETHANE, 55 GAL DRUM (5250-010)</t>
  </si>
  <si>
    <t>PAINT, POLYESTER, POWDER, ANSI 61 GRAY, CAN (5250-011)</t>
  </si>
  <si>
    <t>PAINT, ASA606, WHITE (5250-012)</t>
  </si>
  <si>
    <t>TEDLAR SHEET, 4" WIDE (5260-001)</t>
  </si>
  <si>
    <t>PAVER, LIGHTGUARD, 2' X 4' X 2", GREY (5300-001)</t>
  </si>
  <si>
    <t>PAVER, CAPSTONE, 16" X 8" X 2", BASILITE (5300-002)</t>
  </si>
  <si>
    <t>PAVER, ROOFMATE LG, 600 X 1200 MM X 60 MM (5300-003)</t>
  </si>
  <si>
    <t>BAG, RETURNABLE, SAND/CEMENT MIX (5350-001)</t>
  </si>
  <si>
    <t>PALLET, RETURNABLE, SAND/CEMENT MIX (5350-002)</t>
  </si>
  <si>
    <t>PALLET, 50" X 46", WOOD (5350-003)</t>
  </si>
  <si>
    <t>PALLET, 48" X 40", WOOD (5350-004)</t>
  </si>
  <si>
    <t>PALLET, 52" X 31", WOOD (5350-005)</t>
  </si>
  <si>
    <t>PALLET, 48" X 48", WOOD (5350-006)</t>
  </si>
  <si>
    <t>PALLET, 48" X 50", WOOD (5350-007)</t>
  </si>
  <si>
    <t>PLUG, SIDE TAB PULL (5350-009)</t>
  </si>
  <si>
    <t>BAG, LDPE, 4' X 8' (5350-011)</t>
  </si>
  <si>
    <t>BAG, 9" X 6", ZIPLOC (5350-013)</t>
  </si>
  <si>
    <t>SHEET, ZN-AL, KYNAR, SNOWDRIFT, 24GA, 46"X120" (5400-001)</t>
  </si>
  <si>
    <t>ROLL, ZN-AL, KYNAR,SNOWDRIFT, 24GA, 5000 LB, 46"W (5400-002)</t>
  </si>
  <si>
    <t>GUIDE, TONGUE EDGING PLANE (7100-060)</t>
  </si>
  <si>
    <t>GUIDE, GROOVE EDGING PLANE (7100-061)</t>
  </si>
  <si>
    <t>ASS'Y, EDGING PLANE, TONGUE (7100-062)</t>
  </si>
  <si>
    <t>INSERT, TONGUE, UPPER, EDGING PLANE (7100-063)</t>
  </si>
  <si>
    <t>INSERT, TONGUE, LOWER, EDGING PLANE (7100-064)</t>
  </si>
  <si>
    <t>ASS'Y, EDGING PLANE, GROOVE (7100-065)</t>
  </si>
  <si>
    <t>INSERT, GROOVE, EDGING PLANE (7100-066)</t>
  </si>
  <si>
    <t>BLOCK, BLADE HOLDER, TONGUE EDGING PLANE (7100-067)</t>
  </si>
  <si>
    <t>BLOCK, BLADE HOLDER, GROOVE EDGING PLANE (7100-068)</t>
  </si>
  <si>
    <t>BLADE, STRAIGHT, EDGE TRIMMING (7100-069)</t>
  </si>
  <si>
    <t>HANDLE, EDGE TRIMMING PLANE (7100-070)</t>
  </si>
  <si>
    <t>PVM, FR, SANY HIP-200DA3, BIFACIAL, 200 WP, UL, W/MC3 (1507-044)</t>
  </si>
  <si>
    <t>PVM, FR, SOLA SSI-225-QP-I, 225W, IEC, W/T (1507-795)</t>
  </si>
  <si>
    <t>PVM, FR, SOLA SSI-225-QM-I, 225W, IEC, W/T (1507-796)</t>
  </si>
  <si>
    <t>PVM, FR, SOLA SSI-225-QP-I, 225W, IEC, W/MC4 (1507-797)</t>
  </si>
  <si>
    <t>PVM, FR, SOLA SSI-225-MP-I, 225W, IEC, W/T (1507-798)</t>
  </si>
  <si>
    <t>PVM, FR, SOLA SSI-230-GP-I, 230W, IEC, W/T (1507-799)</t>
  </si>
  <si>
    <t>Monitoring Item, SPR-PMR-LEX, SPRx Lexan Barrier (1507-800)</t>
  </si>
  <si>
    <t>NUT, CHANNEL, W/SPRING FOR P1000, M10X1.5, UNISTRUT P1008M10 SS (1507-801)</t>
  </si>
  <si>
    <t>BOLT, ANCHOR, WEDGE STUD, M10 X 1.5 X 140MM, HDG (1507-802)</t>
  </si>
  <si>
    <t>CONNECTOR, TYCO, MALE, MINUS KEYED, 4MM SQ, 4.5-6.9MM GROMMET, 1394461-4 (1507-806)</t>
  </si>
  <si>
    <t>FRAME, SOUTH, T5, VERSION M (1507-807)</t>
  </si>
  <si>
    <t>ASSY, BALLAST, STEALTH, PRODUCTION, 19 LBS, T5 (1508-625)</t>
  </si>
  <si>
    <t>FRAME, WEST, T5, VERSION M (1507-809)</t>
  </si>
  <si>
    <t>FRAME, NORTH, T5, VERSION M (1507-810)</t>
  </si>
  <si>
    <t>PVM, UNFR, SUNP SPR-230L-WHT, 230W, UL, W/MC3 (1507-811)</t>
  </si>
  <si>
    <t>ASSY, TILE, SUNP SPR-230, 230W, UL, W/MC3 (1507-812)</t>
  </si>
  <si>
    <t>PIN, CLEVIS, 3/4" OD, 4" L, HDG (1507-859)</t>
  </si>
  <si>
    <t>HANGER, CONDUIT, 3/4" ID, SS (1507-860)</t>
  </si>
  <si>
    <t>CLAMP, TWO HOLE, CONDUIT, 1" ID, SS (1507-861)</t>
  </si>
  <si>
    <t>SCREW, S-T, TYPE F, HH, 1/4"-20, 1/2" L, 410 SS (1507-862)</t>
  </si>
  <si>
    <t>PIN, PIVOT, 440C, DRIVE SKID, T20, V2.1 (1507-863)</t>
  </si>
  <si>
    <t>TORQUE ARM, T20, V2.2 (1507-864)</t>
  </si>
  <si>
    <t>CLAMP, LOOP, SS, SILICONE CUSHION, 3/8" OD, 17/64" MOUNTING HOLE (1507-865)</t>
  </si>
  <si>
    <t>BOLT, CARRIAGE, M10 X 140, 50MM THRD, SPEC 1506-589 (1507-866)</t>
  </si>
  <si>
    <t>BOLT, HVYHX, M20-2.5 X 110MM, HDG, A-325M, ASME B18.2.3.7M (1507-867)</t>
  </si>
  <si>
    <t>TIE, CABLE, 11.8" L X .18" W, 3.4" BNDL DIA, UV RESISTANT NYLON 6.6, BLK (1507-870)</t>
  </si>
  <si>
    <t>ASSY, CABLE, JUMPER, TYCO F MINUS/TYCO F PLUS, DUAL RATED 4 MM, 2.00M (1507-871)</t>
  </si>
  <si>
    <t>ASSY, CABLE, JUMPER, TYCO F MINUS/TYCO F PLUS, DUAL RATED 4 MM, 2.50M (1507-872)</t>
  </si>
  <si>
    <t>ASSY, CABLE, JUMPER, TYCO F PLUS/MC4 PIN, DUAL RATED 4 MM, 5.70M (1507-873)</t>
  </si>
  <si>
    <t>ASSY, CABLE, JUMPER, TYCO F MINUS/MC4 SKT, DUAL RATED 4 MM, 5.70M (1507-874)</t>
  </si>
  <si>
    <t>ASSY, POLARIZATION PREVENTION, CLIP-ON, TYCO F PLUS, BLK (1507-875)</t>
  </si>
  <si>
    <t>BOLT, HH, M6 X 1.0 X 55, W/PATCH, SPEC 1506-281 (1507-876)</t>
  </si>
  <si>
    <t>WELDMENT, DRIVE SKID, ROW CENTER, T20 V2.2 (1507-877)</t>
  </si>
  <si>
    <t>TORQUE TUBE, DRIVE SKID, T20 V2.2 (1507-878)</t>
  </si>
  <si>
    <t>BRACKET, CONTROLLER SUPPORT, T20, V2.2 (1507-879)</t>
  </si>
  <si>
    <t>LIFTING BAR, T20 CRANE MANUFACTURING (1507-880)</t>
  </si>
  <si>
    <t>PVM, FR, SANY HIT-180BA19, 180W, UL, W/MC4 (1507-882)</t>
  </si>
  <si>
    <t>PVM, FR, SANY HIT-186BA19, 186W, UL, W/MC4 (1507-883)</t>
  </si>
  <si>
    <t>PVM, FR, SANY HIT-190BA19, 190W, UL, W/MC4 (1507-884)</t>
  </si>
  <si>
    <t>PVM, FR, SANY HIT-195BA19, 195W, UL, W/MC4 (1507-885)</t>
  </si>
  <si>
    <t>PVM, FR, SANY HIT-200BA19, 200W, UL, W/MC4 (1507-886)</t>
  </si>
  <si>
    <t>PVM, FR, SANY HIT-205BA19, 205W, UL, W/MC4 (1507-887)</t>
  </si>
  <si>
    <t>CONNECTOR,  TYCO F MINUS, 1394462-4 (1507-888) - OBSOLETE</t>
  </si>
  <si>
    <t>CONNECTOR, TYCO F PLUS, 1394462-3 (1507-889) - OBSOLETE</t>
  </si>
  <si>
    <t>ASSY, T20, V2.2, SPR-305, 1000V (1507-890-01)</t>
  </si>
  <si>
    <t>T20 V2.2-YL2XX-1000V (1507-891)</t>
  </si>
  <si>
    <t>PVM, SPR-315E-WHT-D CAR C65</t>
  </si>
  <si>
    <t>PUNCH, ROLL PIN, 5/16" (1507-813)</t>
  </si>
  <si>
    <t>CAP, JACKSCREW, RETROFIT, SOLID (1507-814)</t>
  </si>
  <si>
    <t>CAP, JACKSCREW, RETROFIT, BOLTED (1507-815)</t>
  </si>
  <si>
    <t>COMM KIT, RS485/MODBUS, THREE PHASE, GT SERIES, COPPER, XANTREX (1507-816)</t>
  </si>
  <si>
    <t>SIGN, AL, "WARNING, DC SWITCH #5", 3" X 6" (1507-817)</t>
  </si>
  <si>
    <t>SIGN, AL, "WARNING, DC SWITCH #6", 3" X 6" (1507-818)</t>
  </si>
  <si>
    <t>SIGN, AL, "CB A7", 1.5" X 6" (1507-819)</t>
  </si>
  <si>
    <t>SIGN, AL, "CB A8", 1.5" X 6" (1507-820)</t>
  </si>
  <si>
    <t>SIGN, AL, "CB A9", 1.5" X 6" (1507-821)</t>
  </si>
  <si>
    <t>ASSY, SUNTILE 1B, SUNPOWER, 76WP (1507-822)</t>
  </si>
  <si>
    <t>ASSY, BRACKET, SUNTILE 1B, SUNPOWER, 76WP (1507-823)</t>
  </si>
  <si>
    <t>ASSY, PVM, UNFR, SUNP, SUNTILE 1B, 76WP (1507-824)</t>
  </si>
  <si>
    <t>BRACKET, FRONT, EXTRUDED, SUNTILE 1B (1507-825)</t>
  </si>
  <si>
    <t>TAPE, FOAM, 1 SIDE, DIM1 SUNTILE 1B (1507-826)</t>
  </si>
  <si>
    <t>FRONT BRACKET SCREW SUNTILE 1B (1507-827)</t>
  </si>
  <si>
    <t>PVM, UNFR, SUNP, SUNTILE 1B, 76WP (1507-828)</t>
  </si>
  <si>
    <t>TAPE, FOAM, 1 SIDE, DIM2 SUNTILE 1B (1507-829)</t>
  </si>
  <si>
    <t>PROFILE, UNDERLAP, SUNTILE 1B (1507-830)</t>
  </si>
  <si>
    <t>PROFILE, OVERLAP, SUNTILE 1B (1507-831)</t>
  </si>
  <si>
    <t>BRACKET, SLIDE, SUNTILE 1B (1507-832)</t>
  </si>
  <si>
    <t>SHIELD, FIRE, SUNTILE 1B (1507-833)</t>
  </si>
  <si>
    <t>GUARD, RAIN, ALUMINUM, SUNTILE 1B (1507-834)</t>
  </si>
  <si>
    <t>SPACER, MAIN, SUNTILE 1B (1507-835)</t>
  </si>
  <si>
    <t>BRACKET, REAR, SUNTILE 1B (1507-836)</t>
  </si>
  <si>
    <t>PAD, RUBBER, DIM, SQUARE SUNTILE 1B (1507-837)</t>
  </si>
  <si>
    <t>ASSY, WIRE GROUNDING, DIM, RING-FORK SUNTILE 1B (1507-838)</t>
  </si>
  <si>
    <t>TAPE, SEALANT, BUTYL, DIM3 SUNTILE 1B (1507-839)</t>
  </si>
  <si>
    <t>CLIP, WIRE, SADDLE LOCK (1507-840)</t>
  </si>
  <si>
    <t>MAIN SPACER SCREW FRONT SUNTILE 1B (1507-841)</t>
  </si>
  <si>
    <t>GROUNDING SCREW SUNTILE 1B (1507-842)</t>
  </si>
  <si>
    <t>MAIN SPACER SCREW BACK SUNTILE 1B (1507-843)</t>
  </si>
  <si>
    <t>ASSY, BRACKET, STARTER, SUNTILE 1B (1507-844)</t>
  </si>
  <si>
    <t>BRACKET, STARTER, SUNTILE 1B (1507-845)</t>
  </si>
  <si>
    <t>TAPE, SEALANT, BUTYL, DIM SUNTILE 1B (1507-846)</t>
  </si>
  <si>
    <t>Cardboard Sleeves, 72 and 96 cell modules, bulk packaging</t>
  </si>
  <si>
    <t>PVM, UNFR, SPR-210L-WHT-U C</t>
  </si>
  <si>
    <t>PVM, SPR-210-WHT-U C</t>
  </si>
  <si>
    <t>PVM, UNFR, SPR-230L-WHT-U C</t>
  </si>
  <si>
    <t>PVM, SPR-290-WHT-U CL</t>
  </si>
  <si>
    <t>PVM, SPR-305-WHT-U CAR</t>
  </si>
  <si>
    <t>PVM, UNFR, SPR-210L-BLK-I</t>
  </si>
  <si>
    <t>PVM, UNFR, SPR-220L-BLK-I</t>
  </si>
  <si>
    <t>PVM, SPR-220-WHT-I</t>
  </si>
  <si>
    <t>PVM, UNFR, SPR-225L-WHT-I</t>
  </si>
  <si>
    <t>PVM, SPR-225-WHT-I</t>
  </si>
  <si>
    <t>PVM, SPR-225-WHT-I CK</t>
  </si>
  <si>
    <t>PVM, SPR-290-WHT-I CL</t>
  </si>
  <si>
    <t>PVM, SPR-300-WHT-I C, (1507-869)</t>
  </si>
  <si>
    <t>PVM, SPR-300-WHT-I CK</t>
  </si>
  <si>
    <t>PVM, SPR-305-WHT-I CAR</t>
  </si>
  <si>
    <t>INVERTER ACCESSORY, DV604 Rele di protezione volmetrico (ACC.ESA.0001)</t>
  </si>
  <si>
    <t>INVERTER ACCESSORY, Sensore PT100 forma cilindrica (ACC.ESA.0002)</t>
  </si>
  <si>
    <t>INVERTER ACCESSORY, BOX-IP65 Solarimetro + Sensore PT100 (ACC.ESA.0003)</t>
  </si>
  <si>
    <t>INVERTER ACCESSORY, Convertitore analogico per PT100 (ACC.ESA.0004)</t>
  </si>
  <si>
    <t>INVERTER ACCESSORY, Convertitore tens/corr per Solarimetro (ACC.ESA.0005)</t>
  </si>
  <si>
    <t>INVERTER ACCESSORY, Tabellone a tre righe 7 caratteri (ACC.ESA.0018)</t>
  </si>
  <si>
    <t>INVERTER ACCESSORY, Software REMOTE SUNWAY V. 2.12 (ACC.ESA.0023)</t>
  </si>
  <si>
    <t>INVERTER ACCESSORY, Kit convertitore RS485/USB (ACC.ESA.0024)</t>
  </si>
  <si>
    <t>INVERTER ACCESSORY, Convertitore esterno USB/485 (ACC.ESA.0028)</t>
  </si>
  <si>
    <t>INVERTER ACCESSORY, Modem GSM/GPRS MC35i alim 24 Vdc (ACC.ESA.0033)</t>
  </si>
  <si>
    <t>INVERTER ACCESSORY, ES851 scheda a giorno data logger (ACC.ESA.0044)</t>
  </si>
  <si>
    <t>INVERTER ACCESSORY, ES847 scheda acquisiz. sensori ambient. (ACC.ESA.0048)</t>
  </si>
  <si>
    <t>INVERTER ACCESSORY, Sensore PT100 forma piatta con adesivo (ACC.ESA.0050)</t>
  </si>
  <si>
    <t>INVERTER ACCESSORY, BOX-IP65 Sensore PT100 di temperatura (ACC.ESA.0051)</t>
  </si>
  <si>
    <t>INVERTER ACCESSORY, BOX-IP65, RA100T, Solarimento + Sensore (ACC.ESA.0052)</t>
  </si>
  <si>
    <t>INVERTER ACCESSORY, Kit installazione su SUNWAY TG, ES851+  (ACC.ESA.0055)</t>
  </si>
  <si>
    <t>INVERTER ACCESSORY, Secondo Mppt per SUNWAY MXR 2600-4300 (ACC.ESA.0058)</t>
  </si>
  <si>
    <t>INVERTER ACCESSORY, Configurazione progetto REMOTE SUNWAY (ACC.ESA.0062)</t>
  </si>
  <si>
    <t>INVERTER ACCESSORY, Configurazione progetto REMOTE SUNWAY (ACC.ESA.0065)</t>
  </si>
  <si>
    <t>INVERTER ACCESSORY, CS-SP-16-600V Cassetta stringhe SENSORI+ (ACC.ESA.0095)</t>
  </si>
  <si>
    <t>INVERTER ACCESSORY, Cassetta di parallelo da 6 stringhe (ACC.ESA.0159)</t>
  </si>
  <si>
    <t>INVERTER ACCESSORY, Cassetta di parallelo da 8 stringhe (ACC.ESA.0160)</t>
  </si>
  <si>
    <t>INVERTER ACCESSORY, Cassetta di parallelo da 12 stringhe (ACC.ESA.0161)</t>
  </si>
  <si>
    <t>INVERTER ACCESSORY, Ripetitore/Isolatore RS485/422 DAT3590/ (ACC.ESA.0164)</t>
  </si>
  <si>
    <t>INVERTER ACCESSORY, STECA PR3030 REGOLATORE DI CARICA (ACC.STE.0001)</t>
  </si>
  <si>
    <t>INVERTER ACCESSORY, STECA SOLARIX OMEGA (ACC.STE.0002)</t>
  </si>
  <si>
    <t>INVERTER, SUNWAY MXR 2600 Monofase PV 2,62 kWp (INV.ESA.0001)</t>
  </si>
  <si>
    <t>INVERTER, SUNWAY MXR 2600 Monofase PV 2,62 kWp (INV.ESA.0001**)</t>
  </si>
  <si>
    <t>INVERTER, SUNWAY MXR 2600 Monofase PV 2,62 kWp (INV.ESA.0001USATO)</t>
  </si>
  <si>
    <t>INVERTER, SUNWAY MXR 2600 Monofase PV 2,62 kWp (INV.ESA.0001USATO**)</t>
  </si>
  <si>
    <t>INVERTER, SUNWAY MXR 3600 Monofase PV 3,59 kWp (INV.ESA.0002**)</t>
  </si>
  <si>
    <t>INVERTER, SUNWAY MXR 3600 Monofase PV 3,59 kWp (INV.ESA.0002USATO)</t>
  </si>
  <si>
    <t>INVERTER, SUNWAY MXR 3600 Monofase PV 3,59 kWp (INV.ESA.0002USATO**)</t>
  </si>
  <si>
    <t>INVERTER, SUNWAY MXR 4300 Monofase PV 4,28 kWp (INV.ESA.0003)</t>
  </si>
  <si>
    <t>INVERTER, SUNWAY MXR 4300 Monofase PV 4,28 kWp (INV.ESA.0003**)</t>
  </si>
  <si>
    <t>INVERTER, SUNWAY MXR 5300 Monofase PV 5,33 kWp (INV.ESA.0004**)</t>
  </si>
  <si>
    <t>INVERTER, SUNWAY MXR 6400 Monofase PV 6,37 kWp (INV.ESA.0005)</t>
  </si>
  <si>
    <t>INVERTER, SUNWAY MXR 6400 Monofase PV 6,37 kWp (INV.ESA.0005**)</t>
  </si>
  <si>
    <t>INVERTER, SUNWAY MXR 7800 Monofase PV 7,78 kWp (INV.ESA.0006)</t>
  </si>
  <si>
    <t>INVERTER, SUNWAY MXR 7800 Monofase PV 7,78 kWp (INV.ESA.0006**)</t>
  </si>
  <si>
    <t>INVERTER, SUNWAY TG 90 600 V MOD SUNPOWER</t>
  </si>
  <si>
    <t>INVERTER, SUNWAY TG 52 DUAL - 600V PV 52,8 kWp (INV.ESA.0024)</t>
  </si>
  <si>
    <t>INVERTER, SUNWAY TG 57 - 800V PV 56,7 kWp (INV.ESA.0035)</t>
  </si>
  <si>
    <t>INVERTER, FRONIUS IG-15 INDOOR (INV.FRO.0002)</t>
  </si>
  <si>
    <t>QCC-1-500V</t>
  </si>
  <si>
    <t>QCC-1-600V</t>
  </si>
  <si>
    <t>QCC-2-600V</t>
  </si>
  <si>
    <t>QCC-3-500V</t>
  </si>
  <si>
    <t>QCC-3-600V</t>
  </si>
  <si>
    <t>QCC-2-500V-600V</t>
  </si>
  <si>
    <t>PVM, fv BPSOLAR BP585</t>
  </si>
  <si>
    <t>PVM, SANYO HIP 200, 200 Wp</t>
  </si>
  <si>
    <t>PVM, SANYO HIP 215 215 Wp</t>
  </si>
  <si>
    <t>PVM, SANYO HIP 205, 205 Wp</t>
  </si>
  <si>
    <t>PVM, SANYO HIP 190 BE3, 190 Wp</t>
  </si>
  <si>
    <t>PVM, fv SE-PROJECT SEM160/140S/24</t>
  </si>
  <si>
    <t>PVM, fv SE-PROJECT SEM160/160S/24</t>
  </si>
  <si>
    <t>PVM, fv SE-PROJECT SEM160/165M/24</t>
  </si>
  <si>
    <t>PVM, SE-PROJECT SEM160/165S/24</t>
  </si>
  <si>
    <t>PVM, fv SE-PROJECT SEM160/170S/24</t>
  </si>
  <si>
    <t>PVM, fv SE-PROJECT SEM160/175S/24</t>
  </si>
  <si>
    <t>PVM, fv SE-PROJECT SEM220/210M</t>
  </si>
  <si>
    <t>PVM, fv SE-PROJECT SEM220/215M</t>
  </si>
  <si>
    <t>PVM, FR, SUNT STP260-24 /Vb, 260 Wp</t>
  </si>
  <si>
    <t>ROTOLO TUBO CORRUGATO DA MT 50</t>
  </si>
  <si>
    <t>PASSERELLA SATI DA 3 MT</t>
  </si>
  <si>
    <t>PROFILO ZINCATO DA MT 1,5</t>
  </si>
  <si>
    <t>PROFILO ZINCATO DA MT 3</t>
  </si>
  <si>
    <t>PVM, SPR-300E-WHT-I C</t>
  </si>
  <si>
    <t>NA T0 Standard BOM (NA T0 Standard BOM)</t>
  </si>
  <si>
    <t>BOM, PLANNING, 1MW, T5 (1508-242)</t>
  </si>
  <si>
    <t>PVM, FR, POWE PL-215-EM-I, 215W, IEC, W/MC (1507-142)</t>
  </si>
  <si>
    <t>PVM, FR, POWE PL-200-QM-I, 200W, IEC, W/MC (1507-008)</t>
  </si>
  <si>
    <t>PVM, FR, POWE PL-205-QM-I, 205W, IEC, W/MC (1506-740)</t>
  </si>
  <si>
    <t>PVM, FR, POWE PL-215-QM-I, 215W, IEC, W/MC (1506-738)</t>
  </si>
  <si>
    <t>PVM, FR, POWE PL-230-QM-I, 230W, IEC, W/MC (1506-735)</t>
  </si>
  <si>
    <t>PVM, FR, POWE PL-200-QP-I, 200W, IEC, W/MC (1506-539)</t>
  </si>
  <si>
    <t>PVM, FR, POWE PL-210-QP-I, 210W, IEC, W/MC (1506-540)</t>
  </si>
  <si>
    <t>PVM, FR, POWE PL-215-QP-I, 215W, IEC, W/MC (1506-541)</t>
  </si>
  <si>
    <t>PVM, FR, POWE PL-225-QP-I, 225W, IEC, W/MC (1506-542)</t>
  </si>
  <si>
    <t>PVM, FR, POWE PL-150-JM-I, 150W, IEC, W/MC (1506-996)</t>
  </si>
  <si>
    <t>PVM, FR, POWE PL-170-JM-I, 170W, IEC, W/MC (1506-991)</t>
  </si>
  <si>
    <t>CELL, ERSOL, MONO, 156mm, MASTER BIN (CELL, ERSOL, MONO, 156mm, MASTER BIN)</t>
  </si>
  <si>
    <t>CELL, QCELLS, MONO, 156mm, MASTER BIN (CELL, QCELLS, MONO, 156mm, MASTER BIN)</t>
  </si>
  <si>
    <t>CELL, QCELLS, POLY, 156mm, MASTER BIN (CELL, QCELLS, POLY, 156mm, MASTER BIN)</t>
  </si>
  <si>
    <t>CELL, JINGAO, MONO, 125mm, MASTER BIN (CELL, JINGAO, MONO, 125mm, MASTER BIN)</t>
  </si>
  <si>
    <t>PLACEHOLDER, CURB, UNIVERSAL, POWERGUARD (1507-728)</t>
  </si>
  <si>
    <t>PLACEHOLDER, CURB, UNIVERSAL, POWERGUARD (1507-729)</t>
  </si>
  <si>
    <t>BOLT, ANCHOR, WEDGE STUD, 1/2-13 X 5-1/2", HDG (1507-774)</t>
  </si>
  <si>
    <t>PVM, FR, SOLA SSI-230-QP-I, 230W, IEC, W/T (1507-779)</t>
  </si>
  <si>
    <t>FOUNDATION, SOUTH, T20 V2.1, SP2XX NA (1507-847)</t>
  </si>
  <si>
    <t>FOUNDATION, NORTH, T20 V2.1, SP2XX NA, W/ WIRETRAY ANCHORS (1507-848)</t>
  </si>
  <si>
    <t>ASSY, DRIVE SKID, T20 V2.2 (1507-849)</t>
  </si>
  <si>
    <t>TORQUE ARM, DRIVE SKID, T20 V2.2 (1507-850)</t>
  </si>
  <si>
    <t>ASSY, EDGE CLIP, UV RESISTANT NYLON 6.6 (1507-851)</t>
  </si>
  <si>
    <t>REAR COLUMN BOTTOM, LENGTH A, V2.2 (1507-852)</t>
  </si>
  <si>
    <t>REAR COLUMN TOP, V2.2 (1507-853)</t>
  </si>
  <si>
    <t>TORQUE TUBE, LENGTH A, V2.2 (1507-854)</t>
  </si>
  <si>
    <t>STRUT, PV SUPPORT, SP3XX, V2.2 (1507-855)</t>
  </si>
  <si>
    <t>PIN, ANTI-ROTATION, V2.2 (1507-856)</t>
  </si>
  <si>
    <t>PIN, COTTER, HAIRPIN, 5/8"- 7/8" SHAFT OD, 2.5" L, ZN (1507-857)</t>
  </si>
  <si>
    <t>PIN, CLEVIS, 3/4" OD, 3.5" L, HDG (1507-858)</t>
  </si>
  <si>
    <t>INVERTER ACCESSORY, DV601 rel i protezione (ACC.ESA.0047)</t>
  </si>
  <si>
    <t>INVERTER ACCESSORY, CS-SP-8-600V Cassetta (ACC.ESA.0094)</t>
  </si>
  <si>
    <t>INVERTER ACCESSORY, CS-BP-12-600V Cassetta (ACC.ESA.0099)</t>
  </si>
  <si>
    <t>contatore teleleggibile</t>
  </si>
  <si>
    <t>INVERTER, SUNWAY TG 26 - 600V PV 26,0 kWp (INV.ESA.0011)</t>
  </si>
  <si>
    <t>Monitoring System, SMA, Sunny Sensorbox, Irradiation and Temperature, Mounting Bracket, RS485 Power Injector, 05 yr warranty, Language Spanish</t>
  </si>
  <si>
    <t>SPRING CLIP, DEFLECTOR, T5(1507-892)</t>
  </si>
  <si>
    <t>COVER, LEFT, SPRING CLIP, DEFLECTOR, T5(1507-893)</t>
  </si>
  <si>
    <t>COVER, RIGHT, SPRING CLIP, DEFLECTOR, T5(1507-894)</t>
  </si>
  <si>
    <t>INTERFACE, NL115 NETWORK LINK(1507-898)</t>
  </si>
  <si>
    <t>CELL, QCELLS, POLY, 156MM, Q6LTT-180, 16.4, 3.99 Wp (1507-899)</t>
  </si>
  <si>
    <t>CELL, QCELLS, POLY, 156MM, Q6LTT3-180, 15.4, 3.75 Wp(1507-900)</t>
  </si>
  <si>
    <t>CELL, QCELLS, POLY, 156MM, Q6LTT3-180, 15.6, 3.80 Wp(1507-901)</t>
  </si>
  <si>
    <t>CELL, QCELLS, POLY, 156MM, Q6LTT3-180, 15.8, 3.85 Wp(1507-902)</t>
  </si>
  <si>
    <t>CELL, QCELLS, POLY, 156MM, Q6LTT3-180, 16.0, 3.89 Wp(1507-903)</t>
  </si>
  <si>
    <t>CELL, QCELLS, POLY, 156MM, Q6LTT3-180, 16.2, 3.94 Wp(1507-904)</t>
  </si>
  <si>
    <t>CELL, QCELLS, POLY, 156MM, Q6LTT3-180, 16.4, 3.99 Wp(1507-905)</t>
  </si>
  <si>
    <t>ROD, THREADED, M12-1.75 X 300MM, ASTM F568M, CLASS 4.6, HDG, ASME B1.13M(1507-913)</t>
  </si>
  <si>
    <t>PVM, FR, SOLA SSI-235-QP-I, 235W, IEC, W/T(1507-544)</t>
  </si>
  <si>
    <t>COVER, WIRING BOX, XANTREX GT SERIES, PL LOGO(1506-062)</t>
  </si>
  <si>
    <t>EXTRUSION, STACKING, SHIPPING, T20 V2.2(1507-895)</t>
  </si>
  <si>
    <t>WIRE, 4MM SQ, DUAL RATED, STUDER 224780 (1507-896)</t>
  </si>
  <si>
    <t>(1507-906) DO NOT USE SEE 105526 (1503-098)</t>
  </si>
  <si>
    <t>CONNECTOR, TYCO, FEMALE, PLUS KEYED, 4MM SQ, 7MM GROMMET(1507-907)</t>
  </si>
  <si>
    <t>CONNECTOR, TYCO, FEMALE, MINUS KEYED, 4MM SQ, 7MM GROMMET(1507-908)</t>
  </si>
  <si>
    <t>CONNECTOR, TYCO, MALE, MINUS KEYED, 4MM SQ, 7MM GROMMET(1507-909)</t>
  </si>
  <si>
    <t>ASSY, T20, V1.1, SPR-230 W/CT, UL, 11 MOD(1507-910-01)</t>
  </si>
  <si>
    <t>ASSY, T20, V1.1, SPR-217 W/CT, UL, 11 MOD(1507-910-02)</t>
  </si>
  <si>
    <t>ASSY, T20, V1.1, SPR-215 W/CT, UL, 11 MOD(1507-910-03)</t>
  </si>
  <si>
    <t>CROSS STRUT, HARD STOP, T20 V1.1(1507-911)</t>
  </si>
  <si>
    <t>DRIVE STRUT, 12' 3" RECTANGULAR TUBE, T20 V1.1(1507-912)</t>
  </si>
  <si>
    <t>ASSY, TORQUE TUBE, T20 V1.1(1507-914)</t>
  </si>
  <si>
    <t>PLUG, GEAR MOTOR, NORD, 1IN(1507-916)</t>
  </si>
  <si>
    <t>SIGN, AL, "CB F1', 1.5" X 6"(1507-917)</t>
  </si>
  <si>
    <t>SIGN, AL, "CB F2", 1.5" X 6"(1507-918)</t>
  </si>
  <si>
    <t>SIGN, AL, "CB F3", 1.5" X 6"(1507-919)</t>
  </si>
  <si>
    <t>SIGN, AL, "CB G1", 1.5" X 6"(1507-920)</t>
  </si>
  <si>
    <t>SIGN, AL, "CB G2", 1.5" X 6"(1507-921)</t>
  </si>
  <si>
    <t>SIGN, AL, "CB G3", 1.5" X 6"(1507-922)</t>
  </si>
  <si>
    <t>SIGN, AL, "CB H1", 1.5" X 6"(1507-923)</t>
  </si>
  <si>
    <t>SIGN, AL, "CB H2", 1.5" X 6"(1507-924)</t>
  </si>
  <si>
    <t>SIGN, AL, "CB H3", 1.5" X 6"(1507-925)</t>
  </si>
  <si>
    <t>SIGN, AL, "SYSTEM F", 1.5" X 6"(1507-926)</t>
  </si>
  <si>
    <t>SIGN, AL, "SYSTEM G", 1.5" X 6"(1507-927)</t>
  </si>
  <si>
    <t>SIGN, AL, "SYSTEM H", 1.5" X 6"(1507-928)</t>
  </si>
  <si>
    <t>INVERTER, SMA, SB 1100-IT with RS485 Italy</t>
  </si>
  <si>
    <t>INVERTER, SMA, SB 1700-IT with RS485 Italy</t>
  </si>
  <si>
    <t>INVERTER, SMA, SB2500-IT with RS485</t>
  </si>
  <si>
    <t>INVERTER, SMA, SMC 6000A-IT with RS485 Italy</t>
  </si>
  <si>
    <t>INVERTER, SMA, SMC 7000HV-IT with RS485 Italy</t>
  </si>
  <si>
    <t>Inverter, SPR-2500M-ES RS485</t>
  </si>
  <si>
    <t>SunPower 32-Cell Demo Panel, Black</t>
  </si>
  <si>
    <t>PVM, Dummy 72-cell Black, UL</t>
  </si>
  <si>
    <t>Inverter, SPR-1100M-DE RS485</t>
  </si>
  <si>
    <t>Inverter, SPR-2500M-DE RS485</t>
  </si>
  <si>
    <t>Monitoring System, SMA, Sunny Webbox, RS485 Interface, Ethernet, 05 yr warranty, Language Spanish</t>
  </si>
  <si>
    <t>QCC-2-500V</t>
  </si>
  <si>
    <t>Data Logger - DO NOT USE</t>
  </si>
  <si>
    <t>RESTOCKING FEE</t>
  </si>
  <si>
    <t>INVERTER, SUNWAY TG 53 - 600V TK 53,1 kWp (INV.ESA.0026)</t>
  </si>
  <si>
    <t>MAGNETOTERMICO ABB 2X25</t>
  </si>
  <si>
    <t>QCC-3X3-500V</t>
  </si>
  <si>
    <t>Dispositivo modulare di fissaggioalluminio100mm</t>
  </si>
  <si>
    <t>Dispositivo modulare di fissaggio centrale</t>
  </si>
  <si>
    <t>Piastra di fondo in acciaio quadro</t>
  </si>
  <si>
    <t>Cavo solare 1x6 mm</t>
  </si>
  <si>
    <t>Cavo ARE 40CR/4 3x50+25</t>
  </si>
  <si>
    <t>Cavo NO7V-K 1x16mm</t>
  </si>
  <si>
    <t>Connettore multiContact femmina 6 mm</t>
  </si>
  <si>
    <t>Connettore multiContact maschio 6 mm</t>
  </si>
  <si>
    <t>Quadro stagno poliestere porta cieca</t>
  </si>
  <si>
    <t>Cavo solare 1x4mm</t>
  </si>
  <si>
    <t>Cavo FG7R 1x25 mm (MEL.000.0074)</t>
  </si>
  <si>
    <t>Serratura a chive con maniglia</t>
  </si>
  <si>
    <t>Cavo FG7OR 4x4mm</t>
  </si>
  <si>
    <t>Cavo FG7OR 4x16mm</t>
  </si>
  <si>
    <t>Quadro piombabile AC 12 moduli</t>
  </si>
  <si>
    <t>Cavo FG7 1x10 mm</t>
  </si>
  <si>
    <t>Cavo FG7 2x1,5 mm</t>
  </si>
  <si>
    <t>Cavo antifrode 3x50 mm</t>
  </si>
  <si>
    <t>Cavo Li-YCY 10x0,5</t>
  </si>
  <si>
    <t>Cavo FG7 4x1,5 mm</t>
  </si>
  <si>
    <t>SENSOR, ANEMOMETER, WIND SENTRY 03101 (1502-211)</t>
  </si>
  <si>
    <t>INVERTER ACCESSORY, Cavo alimentazione per modem GSM/GPRS (ACC.ESA.0034)</t>
  </si>
  <si>
    <t>INVERTER ACCESSORY, Antenna a forare per GSM/GPRS MC35i (ACC.ESA.0035)</t>
  </si>
  <si>
    <t>INVERTER ACCESSORY, Opzione Modem GSM/GPRS in box IP65 (ACC.ESA.0041)</t>
  </si>
  <si>
    <t>INVERTER ACCESSORY, Kit installato in SUNWAY MXR, ES851+ (ACC.ESA.0046)</t>
  </si>
  <si>
    <t>DO NOT USE SEE 108478</t>
  </si>
  <si>
    <t>INVERTER ACCESSORY, Kit installatazione SUNWAY TG, ES851+ (ACC.ESA.0054)</t>
  </si>
  <si>
    <t>INVERTER ACCESSORY, Secondo Mppt per SUNWAY MXR 5300-7800 (ACC.ESA.0059)</t>
  </si>
  <si>
    <t>INVERTER ACCESSORY, Configurazione progetto REMOTE SUNWAY (ACC.ESA.0064)</t>
  </si>
  <si>
    <t>INVERTER ACCESSORY, CS-SP-24-600V Cassetta stringhe SENSORI+ (ACC.ESA.0096)</t>
  </si>
  <si>
    <t>INVERTER ACCESSORY, CS-BP-24-600V Cassetta stringhe BASE + (ACC.ESA.0101)</t>
  </si>
  <si>
    <t>DO NOT USE SEE 108486 (1507-913)</t>
  </si>
  <si>
    <t>PVM, FR, SUNT STP270-24/Vb, 270 WP, IEC, W/ MC (1507-047)</t>
  </si>
  <si>
    <t>INVERTER ACCESSORY, CS-SP-8-800V Cassetta stringhe SENSORI + (ACC.ESA.0148)</t>
  </si>
  <si>
    <t>INVERTER ACCESSORY, CS-SP-16-800V Cassetta stringhe SENSORI+ (ACC.ESA.0149)</t>
  </si>
  <si>
    <t>INVERTER ACCESSORY, Positive Earth String Box (ACC.ESA.0167)</t>
  </si>
  <si>
    <t>INVERTER, SUNWAY MXR 5300 Monofase PV 5,33 kWp (INV.ESA.0004)</t>
  </si>
  <si>
    <t>INVERTER, SUNWAY TG 26 600 V MOD SUNPOWER</t>
  </si>
  <si>
    <t>INVERTER, SUNWAY TG 33 - 600V PV 33,0 kWp (INV.ESA.0012**)</t>
  </si>
  <si>
    <t>INVERTER, SUNWAY TG 37 - 600V PV 36,5 kWp (INV.ESA.0013)</t>
  </si>
  <si>
    <t>INVERTER, SUNWAY TG 42 600 V MOD SUNPOWER</t>
  </si>
  <si>
    <t>INVERTER, SUNWAY TG 53 - 600V PV 53,1 kWp (INV.ESA.0016)</t>
  </si>
  <si>
    <t>INVERTER, SUNWAY TG 61 600 V MOD SUNPOWER</t>
  </si>
  <si>
    <t>INVERTER, SUNWAY TG 28 - 800V PV 28,2 kWp (INV.ESA.0031)</t>
  </si>
  <si>
    <t>INVERTER, SUNWAY TG 57 800 V MOD SUNPOWER</t>
  </si>
  <si>
    <t>INVERTER, SUNWAY TG 240 - 800V PV 224,8 kWp (INV.ESA.0054**)</t>
  </si>
  <si>
    <t>INVERTER, SUNWAY TG 135 - 600V PV 132,6 kWp (INV.ESA.0021)</t>
  </si>
  <si>
    <t>PVM, UNFR, MATR PW-750, 75 WP, UL, W/MC (2060-009)</t>
  </si>
  <si>
    <t>PVM, UNFR, SIEM SP-75, 75 WP, UL, W/MC (2060-006)</t>
  </si>
  <si>
    <t>10% Down Payment</t>
  </si>
  <si>
    <t>20% Down Payment</t>
  </si>
  <si>
    <t>5% Down Payment</t>
  </si>
  <si>
    <t>NUT, HEX, 1/4-20,18-8SS, NYLOK TORQ-PATCH (1507-965)</t>
  </si>
  <si>
    <t>HANGER, CONDUIT 1" ID, 18-8 / 304SS (1507-984)</t>
  </si>
  <si>
    <t>ASSY, EDGE CLIP, UV RESISTANT NYLON 6.6, TOP (1507-947)</t>
  </si>
  <si>
    <t>CONTACTOR, AC OPER, SIZE 1, 120V, 2NO+2NC (1507-996)</t>
  </si>
  <si>
    <t>Monitoring Kit, MON-SPRm-1, SPRm Inverter Kit 1</t>
  </si>
  <si>
    <t>Monitoring Kit, MON-SPRm-2, SPRm Inverter Kit 2</t>
  </si>
  <si>
    <t>Monitoring Kit, MON-SPRm-3, SPRm Inverter Kit 3</t>
  </si>
  <si>
    <t>ASSY, POWERGUARD TILE, REPAIRED SANY HIP, 190WP (1508-016)</t>
  </si>
  <si>
    <t>ASSY, POWERGUARD TILE, REPAIRED SANY HIP, 175WP (1508-015)</t>
  </si>
  <si>
    <t>BBD, REPAIR PREP SANYO HIP, 175W (1508-012)</t>
  </si>
  <si>
    <t>BBD, REPAIR PREP SANYO HIP, 190W (1508-011)</t>
  </si>
  <si>
    <t>Monitoring Kit, MON-SPRx-1, SPRx Inverter Kit 1</t>
  </si>
  <si>
    <t>Monitoring Kit, MON-SPRx-2, SPRx Inverter Kit 2</t>
  </si>
  <si>
    <t>Monitoring Kit, MON-SPRx-3, SPRx Inverter Kit 3</t>
  </si>
  <si>
    <t>SPACER, REPAIR FOAM, 2 X 2.5 X 39 (1508-013)</t>
  </si>
  <si>
    <t>SPACER, REPAIR FOAM, 2 X 2.5 X 14.25 (1508-014)</t>
  </si>
  <si>
    <t>SPACER, REPAIR FOAM, 2 X 2.5 X 16.25 (1508-017)</t>
  </si>
  <si>
    <t>FOUNDATION, NORTH, T20, 4300LBS, W/ WIRETRAY ANCHORS, METRIC (1507-987-01)</t>
  </si>
  <si>
    <t>FOUNDATION, NORTH, T20, 4300LBS, W/ WIRETRAY ANCHORS, STANDARD (1507-987-02)</t>
  </si>
  <si>
    <t>FOUNDATION, SOUTH, T20, 2358LBS, METRIC (1507-988-01)</t>
  </si>
  <si>
    <t>FOUNDATION, SOUTH, T20, 2358LBS, STANDARD (1507-988-02)</t>
  </si>
  <si>
    <t>BOLT, HVYHX, 5/8-11X6.5, 2" THRD, GR5, GALV B695 GR50, ASME B18.2.1 (1507-990)</t>
  </si>
  <si>
    <t>ASSY, CABLE, JUMPER, TYCO F PLUS/TYCO M PLUS, DUAL RATED, 5.70M (1507-967)</t>
  </si>
  <si>
    <t>ASSY, CABLE, JUMPER, TYCO F MINUS/TYCO M MINUS, DUAL RATED, 5.70M (1507-968)</t>
  </si>
  <si>
    <t>ASSY, CABLE, JUMPER, TYCO F MINUS/TYCO M MINUS, DUAL RATED, 8.30M (1507-982)</t>
  </si>
  <si>
    <t>INVERTER DISCONNECT, SPR-DC-DISC-M-US FOR SPR-3000M, SPR-4000M, SPR-5000M, SPR-6000M, SPR-7000M, SPR-8000M</t>
  </si>
  <si>
    <t>ACC.ESA.0031 - Do Not Use</t>
  </si>
  <si>
    <t>ACC.ESA.0046 - Do Not Use</t>
  </si>
  <si>
    <t>TUBE, TORQUE ARM STACKING, SHIPPING, T20 V2.2 (1507-944)</t>
  </si>
  <si>
    <t>INSTALL TOOL, PLUG INSERT, T20 (1507-945)</t>
  </si>
  <si>
    <t>H-PLATE, STACKING, SHIPPING, T20 V2.2 (1507-951)</t>
  </si>
  <si>
    <t>INVERTER ACCESSORY, Cavo per convertitore USB/RS485 (ACC.ESA.0031)</t>
  </si>
  <si>
    <t>INVERTER ACCESSORY, Router GPRS Edege Router ER75 (ACC.ESA.0042)</t>
  </si>
  <si>
    <t>INVERTER ACCESSORY, Modulo per tabellone con data/ora/ (ACC.ESA.0181)</t>
  </si>
  <si>
    <t>INVERTER, SUNWAY TG 135 - 600V PV 132,6 kWp ( INV.ESA.0021**)</t>
  </si>
  <si>
    <t>INVERTER, SUNWAY TG 82 - 800V PV 77 kWp ( INV.ESA.0052**)</t>
  </si>
  <si>
    <t>LABEL, "SOLAR ELECTRIC SYSTEM - DC CONDUCTORS", 16"X2" (1507-696)</t>
  </si>
  <si>
    <t>LABEL, "SOLAR ELECTRIC SYSTEM - AC CONDUCTORS", 16"X2" (1507-697)</t>
  </si>
  <si>
    <t>SCREW, CAP, HH, M6 X 1 X 35, SS, FULL THD (1507-985)</t>
  </si>
  <si>
    <t>PEDESTAL, BEARING, 4.5" OD X 3/8", 16' LONG (1508-056)</t>
  </si>
  <si>
    <t>SPACER, PINE, SHIPPING, T20 V1.1 (1508-010)</t>
  </si>
  <si>
    <t>SIGN, AL, "SYSTEM J", 1.5" X 6" (1508-034)</t>
  </si>
  <si>
    <t>SIGN, AL, "SYSTEM K", 1.5" X 6" (1508-035)</t>
  </si>
  <si>
    <t>SIGN, AL, "SYSTEM L", 1.5" X 6" (1508-036)</t>
  </si>
  <si>
    <t>SIGN, AL, "SYSTEM M", 1.5" X 6" (1508-037)</t>
  </si>
  <si>
    <t>SIGN, AL, "CB J1", 1.5" X 6" (1508-038)</t>
  </si>
  <si>
    <t>SIGN, AL, "CB J2", 1.5" X 6" (1508-039)</t>
  </si>
  <si>
    <t>SIGN, AL, "CB K1", 1.5" X 6" (1508-040)</t>
  </si>
  <si>
    <t>SIGN, AL, "CB K2", 1.5" X 6" (1508-041)</t>
  </si>
  <si>
    <t>SIGN, AL, "CB L1", 1.5" X 6" (1508-042)</t>
  </si>
  <si>
    <t>SIGN, AL, "CB L2", 1.5" X 6" (1508-043)</t>
  </si>
  <si>
    <t>SIGN, AL, "CB M1", 1.5" X 6" (1508-044)</t>
  </si>
  <si>
    <t>SIGN, AL, "CB M2", 1.5" X 6" (1508-045)</t>
  </si>
  <si>
    <t>INVERTER, SUNWAY TG 14 - 600V PV 13,7 kWp (INV.ESA.0007**)</t>
  </si>
  <si>
    <t>INVERTER, SUNWAY TG 19 - 600V PV 18,6 kWp (INV.ESA.0009**)</t>
  </si>
  <si>
    <t>INVERTER, SUNWAY TG 16 - 600V PV 15,8 kWp (INV.ESA.0008**)</t>
  </si>
  <si>
    <t>INVERTER, SUNWAY TG 47 - 600V PV 46,8 kWp (INV.ESA.0015**)</t>
  </si>
  <si>
    <t>INVERTER, SUNWAY TG 75 - 600V PV 74,3 kWp (INV.ESA.0018**)</t>
  </si>
  <si>
    <t>INVERTER, SUNWAY TG 110 600 V MOD SUNPOWER</t>
  </si>
  <si>
    <t>INVERTER, SUNWAY TG 135 600 V MOD SUNPOWER</t>
  </si>
  <si>
    <t>INVERTER, SUNWAY TG 18 - 800V PV 18,3 kWp (INV.ESA.0058**)</t>
  </si>
  <si>
    <t>INVERTER, SUNWAY TG 25 - 800V PV 24,8 kWp (INV.ESA.0059**)</t>
  </si>
  <si>
    <t>INVERTER, SUNWAY TG 35 800 V MOD SUNPOWER</t>
  </si>
  <si>
    <t>INVERTER, SUNWAY TG 63 - 800V PV 62,6 kWp (INV.ESA.0053**)</t>
  </si>
  <si>
    <t>INVERTER, SUNWAY TG 120 800 V MOD SUNPOWER</t>
  </si>
  <si>
    <t>INVERTER ACCESSORY, KIT BLUETOOTH PER TABELLONE (ACC.ESA.0182)</t>
  </si>
  <si>
    <t>CONTATORE TELELEGGIBILE 5A/10A ACTARIS (MEL.ACT.0002)</t>
  </si>
  <si>
    <t>ASSY, POWERGUARD TILE, REPAIRED, SANYO HIP, 4 SPACER, 175 W (1508-015)</t>
  </si>
  <si>
    <t>ASSY, POWERGUARD TILE, REPAIRED, SANYO HIP, 4 SPACER, 190 W (1508-015)</t>
  </si>
  <si>
    <t>ASSY, POWERGUARD TILE, REPAIRED, SANYO HIP, 6 SPACER, 175 W (1508-016)</t>
  </si>
  <si>
    <t>ASSY, POWERGUARD TILE, REPAIRED, SANYO HIP, 6 SPACER, 190 W (1508-016)</t>
  </si>
  <si>
    <t>FRAME, WEST, T5 (1507-345)</t>
  </si>
  <si>
    <t>FRAME, EAST, T5 (1507-346)</t>
  </si>
  <si>
    <t>FRAME, NORTH, T5 (1507-347)</t>
  </si>
  <si>
    <t>FRAME, SOUTH, T5 (1507-348)</t>
  </si>
  <si>
    <t>DEFLECTOR, NORTH, T5 (1507-350)</t>
  </si>
  <si>
    <t>TRAY, BALLAST, T5 (1507-351)</t>
  </si>
  <si>
    <t>CONNECTOR, INTERMODULE, T5 (1507-349)</t>
  </si>
  <si>
    <t>INVERTER, SUNWAY TG 145 800 V MOD SUNPOWER</t>
  </si>
  <si>
    <t>INVERTER, SPR-3300F-EU with ComCard</t>
  </si>
  <si>
    <t>INVERTER, SPR-3300F-IT with ComCard</t>
  </si>
  <si>
    <t>INVERTER, SPR-3300F-ES with ComCard</t>
  </si>
  <si>
    <t>INVERTER, SPR-3300F-FR with ComCard</t>
  </si>
  <si>
    <t>INVERTER, SPR-3300F-PT with ComCard</t>
  </si>
  <si>
    <t>PVM, FR, SHAR ND-208U1F, 208 WP, UL, W/MC3 (1508-065)</t>
  </si>
  <si>
    <t>INVERTER, SUNWAY TG 100 - 800V PV 99,3 kWp (INV.ESA.0043**)</t>
  </si>
  <si>
    <t>BRACKET, COMBINER BOX, 56 STRING, T20 V2.1 (1508-058)</t>
  </si>
  <si>
    <t>PVM, SPR-215-WHT-I CK</t>
  </si>
  <si>
    <t>BEARING, INSERT, T20, V2.2 (1508-055)</t>
  </si>
  <si>
    <t>ASSY, SPRING CLIP, T5 (1508-022)</t>
  </si>
  <si>
    <t>INVERTER, SUNWAY TG 10 - 600V PV 10,0 kWp (INV.ESA.0055**)</t>
  </si>
  <si>
    <t>INVERTER, SUNWAY TG 21 - 600V PV 21,1 kWp (INV.ESA.0010**)</t>
  </si>
  <si>
    <t>INVERTER ACCESSORY, CS-SP-16-800V Cassetta stringhe BASE + PROTEZIONE 800V, 16 stringhe, fusibili di protezione. LxHxP 1000x300x185 (ACC.ESA.0184)</t>
  </si>
  <si>
    <t>INVERTER, ESANTERNO, SUNWAY TG 485, 800V, MT, ZZEF485800 30000 (1507-929)</t>
  </si>
  <si>
    <t>INVERTER, CONFIG, ESANTERNO, SUNWAY, TG, POSITIVE EARTH, ZZ4500540 (1507-930)</t>
  </si>
  <si>
    <t>DATALOGGER, ESANTERNO, SUNWAY TG, ES851, ZZ4500520 (1507-931)</t>
  </si>
  <si>
    <t>SENSOR CARD, ESANTERNO, ENVIRONMENTAL, ES847, ZZ0101810 (1507-932)</t>
  </si>
  <si>
    <t>COMBINER BOX, ESANTERNO, 16STR, CS-SPA-16-800V, POSITIVE EARTH CONFIG, ZZEP2L0800 (1507-933)</t>
  </si>
  <si>
    <t>COMBINER BOX, ESANTERNO, 8STR, CS-SPA-8-800V, POSITIVE EARTH CONFIG, ZZEP2H0800 (1507-934)</t>
  </si>
  <si>
    <t>TRANSFORMER, MV RESIN, ESANTERNO, 800KVA, 20KV/270V/270V, TR1325042 (1507-936)</t>
  </si>
  <si>
    <t>SOFTWARE, ESANTERNO, REMOTE SUNWAY FOR ES851, SW000A000 (1507-938)</t>
  </si>
  <si>
    <t>SOFTWARE, ESANTERNO, REMOTE SUNWAY FOR ES847, SW300016A (1507-939)</t>
  </si>
  <si>
    <t>SOFTWARE, ESANTERNO, REMOTE SUNWAY FOR SUNWAY TG INVERTER, SW300019A (1507-940)</t>
  </si>
  <si>
    <t>SOFTWARE, ESANTERNO, REMOTE SUNWAY FOR CS-SPA-16, SW000A051 (1507-941)</t>
  </si>
  <si>
    <t>SOFTWARE, ESANTERNO, REMOTE SUNWAY FOR CS-SPA-8, SW000A050 (1507-942)</t>
  </si>
  <si>
    <t>CABINET, DC PARALLEL, ESANTERNO, 4/8-D-800V, SUNWAY TG310-73, ZZEAF8B800 (1507-950)</t>
  </si>
  <si>
    <t>ADAPTER, MODBUS BRIDGE, 24VDC, DIN, ONE IA, DIGI, 70001862 (1507-958)</t>
  </si>
  <si>
    <t>ETHERNET, 5 PORT SWITCH, 24VDC, DIN, (1507-959)</t>
  </si>
  <si>
    <t>CABINET, ENCLOSURE, 13.78" X 11.81" X 7.87", HOFFMAN, LHC353020 (1507-960)</t>
  </si>
  <si>
    <t>CABINET, BACKPLATE, 13.03" X 11.06", HOFFMAN, LP3530G (1507-961)</t>
  </si>
  <si>
    <t>TERMINAL, BLOCK, DIN , 6.2MM, PHOENIX CONTACT, UK 4-TG, 2812018 (1507-962)</t>
  </si>
  <si>
    <t>DIN RAIL, PERFORATED STEEL, 35MM X 7.53MM, 1 FOOT, PHOENIX CONTACT, 801733 (1507-963)</t>
  </si>
  <si>
    <t>KIT, DAS COMM, DIGI IA, NTRON, CABINET, DIN RAIL (1507-964)</t>
  </si>
  <si>
    <t>METER, ION 8600, CLASS 20, FORM9S, SOCKET TYPE, REVENUE GRADE, SQUARE D, S8600C0C0E6E0A0A (1508-028)</t>
  </si>
  <si>
    <t>METER, ION 6200, CLASS 20, FORM9, PANEL TYPE, REVENUE GRADE, SQUARE D, S6200A0A0D0A0A0P (1508-029)</t>
  </si>
  <si>
    <t>CABINET, METER &amp; SW, 400A, 13JAW, J FUSE, ERICKSON, CTMS465NMFSUN (1508-030)</t>
  </si>
  <si>
    <t>CABINET, METER &amp; SW, 600A, 13JAW, J FUSE, ERICKSON, CTMS466NMFSUN(1508-031)</t>
  </si>
  <si>
    <t>CABINET, METER &amp; SW, 800A, 13JAW, L FUSE, ERICKSON, CTMS467NMFSUN (1508-057)</t>
  </si>
  <si>
    <t>ASSY, COMBINER BOX, 56 STRINGS, 36 X 30, SS (1508-083)</t>
  </si>
  <si>
    <t>ASSY, COMBINER BOX, 56 STRINGS, 36 X 30, SS, WITH MOUNTING KIT (1508-084)</t>
  </si>
  <si>
    <t>INVERTER, SPR-3000m-RFB</t>
  </si>
  <si>
    <t>INVERTER, SPR-4000m-RFB</t>
  </si>
  <si>
    <t>ASSY, CONNECTOR, MALE, T5 (1508-027-01)</t>
  </si>
  <si>
    <t>INVERTER, SPR-5000m-RFB</t>
  </si>
  <si>
    <t>ASSY, CONNECTOR, FEMALE, T5 (1508-027-02)</t>
  </si>
  <si>
    <t>INVERTER, SPR-6000m-RFB</t>
  </si>
  <si>
    <t>INVERTER, SPR-7000m-RFB</t>
  </si>
  <si>
    <t>INVERTER DISCONNECT, SPR-DC-DISC-M-RFB</t>
  </si>
  <si>
    <t>INVERTER DISCONNECT, SPR-ACDC-DISC-M-RFB</t>
  </si>
  <si>
    <t>INVERTER DISCONNECT, SPR-DC-DISC-M-US-RFB</t>
  </si>
  <si>
    <t>INVERTER, SPR-4000F-EU with ComCard</t>
  </si>
  <si>
    <t>INVERTER, SPR-4000F-IT with ComCard</t>
  </si>
  <si>
    <t>INVERTER, SPR-4000F-ES with ComCard</t>
  </si>
  <si>
    <t>INVERTER, SPR-4000F-PT with ComCard</t>
  </si>
  <si>
    <t>INVERTER, SPR-6500F-EU with ComCard</t>
  </si>
  <si>
    <t>INVERTER, SPR-6500F-IT with ComCard</t>
  </si>
  <si>
    <t>INVERTER, SPR-6500F-ES with ComCard</t>
  </si>
  <si>
    <t>INVERTER, SPR-6500F-FR with ComCard</t>
  </si>
  <si>
    <t>INVERTER, SPR-8000F-EU with ComCard</t>
  </si>
  <si>
    <t>INVERTER, SPR-8000F-IT with ComCard</t>
  </si>
  <si>
    <t>INVERTER, SPR-8000F-ES with ComCard</t>
  </si>
  <si>
    <t>INVERTER, SPR-8000F-FR with ComCard</t>
  </si>
  <si>
    <t>INVERTER, SPR-12000F-EU with ComCard</t>
  </si>
  <si>
    <t>INVERTER, SPR-12000F-IT with ComCard</t>
  </si>
  <si>
    <t>INVERTER, SPR-12000F-ES with ComCard</t>
  </si>
  <si>
    <t>INVERTER, SPR-12000F-FR with ComCard</t>
  </si>
  <si>
    <t>CONNECTOR, PIN, MC4, 12/10 AWG, 3-6MM CABLE GLAND, PV-KST4/6I (32.0015) (1508-069)</t>
  </si>
  <si>
    <t>CONNECTOR, SOCKET, MC4, 12/10 AWG, 3-6MM CABLE GLAND, PV-KBT4/6I (32.0014) (1508-070)</t>
  </si>
  <si>
    <t>TRANSFORMER, MV RESIN, ESANTERNO, 400KVA, 20KV/270V, TR1323080 (1507-937)</t>
  </si>
  <si>
    <t>INVERTER ACCESSORY, Tabellone a tre righe 24 caratteri LED gialli e rossi. per esterno. Visualizzazione di 3 variabili per volta. (ACC.ESA.0008)</t>
  </si>
  <si>
    <t>INVERTER, SMA, SB 3300-IT with RS485 Italy</t>
  </si>
  <si>
    <t>INVERTER, SMA, SB 3800-IT with RS485 Italy</t>
  </si>
  <si>
    <t>INVERTER, SMA, SMC 5000A-IT with RS485 Italy</t>
  </si>
  <si>
    <t>Monitoring System, SMA, Sunny Webbox, RS485 Interface, Ethernet, 05 yr warranty, Language Italian</t>
  </si>
  <si>
    <t>Monitoring System, SMA, Sunny Webbox, RS485 Interface, Ethernet, 10 yr warranty, Language Italian</t>
  </si>
  <si>
    <t>Monitoring System, SMA, Sunny Sensorbox, Irradiation and Temperature, Mounting Bracket, RS485 Power Injector, 05 yr warranty, Language Italian</t>
  </si>
  <si>
    <t>Monitoring System, SMA, Sunny Sensorbox, Irradiation and Temperature, Mounting Bracket, RS485 Power Injector, 10 yr warranty, Language Italian</t>
  </si>
  <si>
    <t>Monitoring System, SMA, Sunny Webbox, RS485 Interface, Ethernet, 10 yr warranty, Language Spanish</t>
  </si>
  <si>
    <t>Monitoring System, SMA, Sunny Sensorbox, Irradiation and Temperature, Mounting Bracket, RS485 Power Injector, 10 yr warranty, Language Spanish</t>
  </si>
  <si>
    <t>Mounting System, SMA, Sunny Tower, AC + RS485 cabling + Power Balancer Preconfigured, 2 yr warranty, Documentation in Spanish</t>
  </si>
  <si>
    <t>INVERTER INTERFACE, SMA, RS485 for SPR-1100M, SPR-2500M, SPR-3300M, SPR-3800M SERIES (485 PB-NR)</t>
  </si>
  <si>
    <t>INVERTER INTERFACE, SMA, RS485 for SPR-5000M, SPR-6000M, SPR-7000M SERIES (485 PB-SMC-NR)</t>
  </si>
  <si>
    <t>Monitoring System, SMA, Sunny Webbox, RS485 Interface, Ethernet, 05 yr warranty,  Language German</t>
  </si>
  <si>
    <t>Monitoring System, SMA, Sunny Webbox, RS485 Interface, Ethernet, 10 yr warranty,  Language German</t>
  </si>
  <si>
    <t>Monitoring System, SMA, Sunny Sensorbox, Irradiation and Temperature, Mounting Bracket, RS485 Power Injector, 05 yr warranty, Language German</t>
  </si>
  <si>
    <t>Monitoring System, SMA, Sunny Sensorbox, Irradiation and Temperature, Mounting Bracket, RS485 Power Injector, 10 yr warranty, Language German</t>
  </si>
  <si>
    <t>Monitoring System, SMA, Sunny Webbox, RS485 Interface, Ethernet, 05 yr warranty, Language English</t>
  </si>
  <si>
    <t>Monitoring System, SMA, Sunny Webbox, RS485 Interface, Ethernet, 10 yr warranty, Language English</t>
  </si>
  <si>
    <t>Monitoring System, SMA, Sunny Sensorbox, Irradiation and Temperature, Mounting Bracket, RS485 Power Injector, 05 yr warranty, Language English</t>
  </si>
  <si>
    <t>Monitoring System, SMA, Sunny Sensorbox, Irradiation and Temperature, Mounting Bracket, RS485 Power Injector, 10 yr warranty, Language English</t>
  </si>
  <si>
    <t>PEDESTAL, BEARING, 4.5" OD X 1/4" (6 MM), 18' LONG (1508-085)</t>
  </si>
  <si>
    <t>INVERTER, SPR-4000F-FR with ComCard</t>
  </si>
  <si>
    <t>ASSY, BBD, SANYO REPLACEMENT, 6-SPACER, J-BOX GROOVE (1508-118)</t>
  </si>
  <si>
    <t>ASSY, POWERGUARD TILE, J-BOX GROOVE, SANYO REPLACEMENT, 175W (1508-122)</t>
  </si>
  <si>
    <t>ASSY, POWERGUARD TILE, J-BOX GROOVE, SANYO REPLACEMENT, 190W (1508-123)</t>
  </si>
  <si>
    <t>ASSY, MODULE, T5, 305L-WHT-U C, C50, 4MM GLASS (1507-352-01)</t>
  </si>
  <si>
    <t>PVM, Dummy 32-cell, BL, IEC</t>
  </si>
  <si>
    <t>Planning BOM Header - Powerguard US 96-cell</t>
  </si>
  <si>
    <t>INVERTER, SPR-3300x-R, UL01, 3.3KVA, 240 VAC, POSITIVE GROUND</t>
  </si>
  <si>
    <t>INVERTER, SPR-3300F with Comcard</t>
  </si>
  <si>
    <t>INVERTER, SPR-4000F with ComCard</t>
  </si>
  <si>
    <t>INVERTER, SPR-6500f with Comcard</t>
  </si>
  <si>
    <t>INVERTER, SPR-8000f with ComCard</t>
  </si>
  <si>
    <t>INVERTER, SPR-11400f-208 with Comcard</t>
  </si>
  <si>
    <t>PVM, UNFR SPR-305L-WHT-U NC</t>
  </si>
  <si>
    <t>Transformer, SMA, 2 Primary Windings 270V</t>
  </si>
  <si>
    <t>INVERTER, SATCON, POWERGATE PLUS, 250KW, 480V, 60HZ, NEG GND (1508-254)</t>
  </si>
  <si>
    <t>INVERTER, SATCON, POWERGATE PLUS, 250KW, 480V, 60HZ, POS GND (1508-255)</t>
  </si>
  <si>
    <t>Inverter, SPR-4600M-DE, 4.6KW, RS-485 Interface</t>
  </si>
  <si>
    <t>INVERTER ACCESSORY, CS-SPA-8-600V Cassetta stringhe SENSORI</t>
  </si>
  <si>
    <t>INVERTER ACCESSORY, Kit installato in SUNWAY MXR, ES851 + ES879 + ES880 Scheda data logger out RS232 full modem + RS485 MOD-BUS (ACC.ESA.0045)</t>
  </si>
  <si>
    <t>INVERTER, SUNWAY TG 44 - 800V PV 44,1 kWp (INV.ESA.0033**)</t>
  </si>
  <si>
    <t>INVERTER, SUNWAY TG 53 - 600V PV 53,1 kWp (INV.ESA.0016**)</t>
  </si>
  <si>
    <t>SHEET DRAIN, FABRIC, 4" X 4" X .25" (1508-050)</t>
  </si>
  <si>
    <t>FUSE, ESANTERNO, 4/8-D-800V DC PARALLEL CABINET, 125A   (1508-294)</t>
  </si>
  <si>
    <t>FUSE, ESANTERNO, 4/8-D-800V DC PARALLEL CABINET, 63A   (1508-296)</t>
  </si>
  <si>
    <t>ASSY, DRAIN, MAIN SUPPORT, T10 (1508-049)</t>
  </si>
  <si>
    <t>ANCHOR CLIP, CONDUIT EXIT ASSY, T5 (1508-241)</t>
  </si>
  <si>
    <t>PVM, SPR-280/B-WHT-I C</t>
  </si>
  <si>
    <t>PAD, MAIN, RESIDENTIAL POWERROOF, BLK (1508-386)</t>
  </si>
  <si>
    <t>ASSY, SMART MOUNT, BLK (1508-387)</t>
  </si>
  <si>
    <t>ASSY, SMART MOUNT, PERIMETER, BLK (1508-388)</t>
  </si>
  <si>
    <t>PVM, SPR-270/B-WHT-I C</t>
  </si>
  <si>
    <t>SIGN, AL, "SUNPOWER POWERGUARD", PUNCHED 5" X 14" (1508-436)</t>
  </si>
  <si>
    <t>INVERTER ACCESSORY, Fronius, Sensor Card Retrofit</t>
  </si>
  <si>
    <t>INVERTER ACCESSORY, Fronius, Power Supply DatCOM</t>
  </si>
  <si>
    <t>INVERTER ACCESSORY, Fronius, Ambient Temperature Sensor</t>
  </si>
  <si>
    <t>INVERTER ACCESSORY, Fronius, Module Temperature Sensor</t>
  </si>
  <si>
    <t>INVERTER ACCESSORY, Fronius, Irradiation Sensor</t>
  </si>
  <si>
    <t>INVERTER ACCESSORY, Fronius, Datalogger Web</t>
  </si>
  <si>
    <t>INVERTER ACCESSORY, Fronius, Datalogger Card Pro Retrofit USB</t>
  </si>
  <si>
    <t>Planning BOM Header- Powertilt US, 96 Cell, T-10, 1MW ( Metric)</t>
  </si>
  <si>
    <t>Planning BOM Header - Powertilt EU, 96 Cell, T-10, 1MW ( Metric)</t>
  </si>
  <si>
    <t>ASSY, MODULE, T5, 305L-WHT-D C, C50 (1507-352-02)</t>
  </si>
  <si>
    <t>ASSY, MODULE, T5, 310L-WHT-D CAR, C50, MC3 (1507-352-03)</t>
  </si>
  <si>
    <t>PVM, SPR-210-WHT-I CK</t>
  </si>
  <si>
    <t>Mounting Item, SPR-MC-BLK, SPR Comp Middle, Black (10 per box) (1508-434)</t>
  </si>
  <si>
    <t>Mounting Item, SPR-EC-BLK, SPR Comp End, Black (4 per Box) (1508-435)</t>
  </si>
  <si>
    <t>Glass, 72 cell, 3.2mm (non-AR), 61.109x31.188in , XYG</t>
  </si>
  <si>
    <t>INVERTER, SMA, USB SERVICE INTERFACE</t>
  </si>
  <si>
    <t>MONITORING KIT, MON-SPRm-1, SPRm INVERTER KIT 1, V1.2 (1508-454)</t>
  </si>
  <si>
    <t>MONITORING KIT, MON-SPRm-2, SPRm INVERTER KIT 2, V1.2 (1508-455)</t>
  </si>
  <si>
    <t>MONITORING KIT, MON-SPRm-3, SPRm INVERTER KIT 3, V1.2 (1508-456)</t>
  </si>
  <si>
    <t>MONITORING KIT, MON-SPRx-1, SPRx INVERTER KIT 1, V1.2 (1508-457)</t>
  </si>
  <si>
    <t>MONITORING KIT, MON-SPRx-2, SPRx INVERTER KIT 2, V1.2 (1508-458)</t>
  </si>
  <si>
    <t>MONITORING KIT, MON-SPRx-3, SPRx INVERTER KIT 3, V1.2 (1508-459)</t>
  </si>
  <si>
    <t>MONITORING KIT, MON-SPRu-1, SPRu INVERTER KIT 1, V1.2 (1508-460)</t>
  </si>
  <si>
    <t>MONITORING KIT, MON-SPRu-2, SPRu INVERTER KIT 2, V1.2  (1508-461)</t>
  </si>
  <si>
    <t>MONITORING KIT, MON-SPRu-3, SPRu INVERTER KIT 3, V1.2  (1508-462)</t>
  </si>
  <si>
    <t>MONITORING ITEM, SPR-PMR-WDISP, WIRELESS DISPLAY, SMS 1.2, US/EU, (1508-463)</t>
  </si>
  <si>
    <t>MONITORING ITEM, SPR-PMR-DLOG, DATA LOGGER, SMS 1.2, US/EU (1508-464)</t>
  </si>
  <si>
    <t>MONITORING ITEM, SPR-PMR-GTWY, GATEWAY, SMS 1.2, US/EU (1508-465)</t>
  </si>
  <si>
    <t>FREIGHT COST, HANDLING</t>
  </si>
  <si>
    <t>CLIP, SAFETY LOCK, MC4, PV SSH4</t>
  </si>
  <si>
    <t>ASSY, BALLAST, STEALTH, PROTOTYPE, 19 LBS, T5 (1508-530)</t>
  </si>
  <si>
    <t>ASSY, BALLAST, STEALTH, 7 LBS, T5 (OBSOLETE - SEE 107787)</t>
  </si>
  <si>
    <t>ASSY, BALLAST, STEALTH, 9 LBS, T5 (OBSOLETE - SEE 107787)</t>
  </si>
  <si>
    <t>ASSY, BALLAST, STEALTH, 11 LBS, T5 (OBSOLETE - SEE 107787)</t>
  </si>
  <si>
    <t>ASSY, BALLAST, STEALTH, 13 LBS, T5 (OBSOLETE - SEE 107787)</t>
  </si>
  <si>
    <t>ASSY, BALLAST, STEALTH, 15 LBS, T5 (OBSOLETE - SEE 107787)</t>
  </si>
  <si>
    <t>PALLET, SHIPPING, T5 (1508-253)</t>
  </si>
  <si>
    <t>PVM, SPR-290-WHT-I CAR</t>
  </si>
  <si>
    <t>INVERTER, SPR-12000f with Comcard</t>
  </si>
  <si>
    <t>INVERTER, SATCON, 30 kW 208VAC 3-Phase Utility Interactive Inverter;  positive ground; 10-yr warranty</t>
  </si>
  <si>
    <t>INVERTER, SATCON, 30 kW 480VAC 3-Phase Utility Interactive Inverter;  positive ground; 10-yr warranty</t>
  </si>
  <si>
    <t>INVERTER, SATCON, 50 kW 208VAC 3-Phase Utility Interactive Inverter;  positive ground; 10-yr warranty</t>
  </si>
  <si>
    <t>INVERTER, SATCON, 50 kW 480VAC 3-Phase Utility Interactive Inverter; positive ground; 10-yr warranty</t>
  </si>
  <si>
    <t>INVERTER, SATCON, 75 kW 208VAC 3-Phase Utility Interactive Inverter; positive ground; 10-yr warranty</t>
  </si>
  <si>
    <t>INVERTER, SATCON, 75 kW 480VAC 3-Phase Utility Interactive Inverter; positive ground; 10-yr warranty</t>
  </si>
  <si>
    <t>INVERTER, SATCON, 100 kW 208VAC 3-Phase Utility Interactive Inverter; positive ground; 10-yr warranty</t>
  </si>
  <si>
    <t>INVERTER, SATCON, 100 kW 480VAC 3-Phase Utility Interactive Inverter; positive ground; 10-yr warranty</t>
  </si>
  <si>
    <t>INVERTER, SATCON, 135 kW 208VAC 3-Phase Utility Interactive Inverter; positive ground; 10-yr warranty</t>
  </si>
  <si>
    <t>INVERTER, SATCON, 135 kW 480VAC 3-Phase Utility Interactive Inverter; positive ground; 10-yr warranty</t>
  </si>
  <si>
    <t>INVERTER, SATCON, 500 kW 480VAC 3-Phase Utility Interactive Inverter; positive ground; 10-yr warranty</t>
  </si>
  <si>
    <t>CABINET, METER &amp; CT, 200A, 13-JAW, AMERICAN MIDWEST POWER, CT2-4L (1508-449)</t>
  </si>
  <si>
    <t>CABINET, METER &amp; CT, 400A, 13-JAW, AMERICAN MIDWEST POWER, CT4-4L (1508-450)</t>
  </si>
  <si>
    <t>FUSE BOX, NEGATIVE, ESANTERNO, 8STR, B-B-8, ZZEP9H000 (1508-512)</t>
  </si>
  <si>
    <t>FLASHING, BOTTOM, COMP, SUNTILE 1B (1508-222)</t>
  </si>
  <si>
    <t>FLASHING, LEAD, S, SUNTILE 1B (1508-224)</t>
  </si>
  <si>
    <t>FLASHING, BOTTOM, S, SUNTILE 1B (1508-225)</t>
  </si>
  <si>
    <t>FLASHING, TOP, SUNTILE 1B (1508-229)</t>
  </si>
  <si>
    <t>ASSY, FLASHING, BOTTOM, S, SUNTILE 1B (1508-223)</t>
  </si>
  <si>
    <t>INVERTER, SATCON, 250 kW 208VAC 3-Phase Utility Interactive Inverter; positive ground; 10-yr warranty</t>
  </si>
  <si>
    <t>INVERTER, SATCON, 250 kW 480VAC 3-Phase Utility Interactive Inverter; positive ground; 10-yr warranty</t>
  </si>
  <si>
    <t>INVERTER, SATCON, 375 kW 480VAC 3-Phase Utility Interactive Inverter; positive ground; 10-yr warranty</t>
  </si>
  <si>
    <t>INVERTER, SPR-2500M-IT with RS485</t>
  </si>
  <si>
    <t>ASSY, MET STATION, DIGITAL, FREE STANDING, COMMERCIAL (1508-327)</t>
  </si>
  <si>
    <t>PVM, SPR-315E-WHT-U CAR</t>
  </si>
  <si>
    <t>PVM, SPR-320E-WHT-D CAR (C65 Cell)</t>
  </si>
  <si>
    <t>PVM, SPR-305-WHT-I NC</t>
  </si>
  <si>
    <t>INVERTER ACCESSORY, SMART STRING BOX CS-SP-24-800V - Cassetta stringhe SENSORI+ PROTEZIONE</t>
  </si>
  <si>
    <t>INVERTER ACCESSORY, Software REMOTE SUNWAY V. 2.30</t>
  </si>
  <si>
    <t>MONITORING ITEM, SPR-PMR-ACC, SPRM EXTERNAL MOUNT ACCESSORY KIT, SMS 1.2, US/EU (1508-552)</t>
  </si>
  <si>
    <t>MONITORING ITEM, SPR-PMR-ENC, SPRM EXTERNAL MOUNT BOX, SMS 1.2, US/EU (1508-553)</t>
  </si>
  <si>
    <t>INVERTER, SUNWAY TG 310 800 V MT MOD SUNPOWER</t>
  </si>
  <si>
    <t>INVERTER, SUNWAY TG 385 800 V MT MOD SUNPOWER</t>
  </si>
  <si>
    <t>INVERTER ACCESSORY, CS-SPA-24-800V Cassetta stringhe SENSORI - +PROTEZIONE+ANTIFURTO 800V, grado di protezione IP65, 24 stinghe, 2200X300X185mm (ACC.ESA.0153)</t>
  </si>
  <si>
    <t>PVM, 6-CELL WHT LAMINATE, SALE SAMPLE</t>
  </si>
  <si>
    <t>INVERTER ACCESSORY, UPS 650 VA</t>
  </si>
  <si>
    <t>INVERTER, SPR-10000F-EU with ComCard</t>
  </si>
  <si>
    <t>CAP, MOLDED, BALLAST, STEALTH, T5 (1508-595)</t>
  </si>
  <si>
    <t>TUBE, EXTRUDED, BALLAST, STEALTH, T5 (1508-596)</t>
  </si>
  <si>
    <t>SUPPORT, WIRE, NORTH-SOUTH, T5 (1508-616)</t>
  </si>
  <si>
    <t>Mounting Item, SPR-TH, Tile Hook, Universal Mount (24 units / Box)</t>
  </si>
  <si>
    <t>INVERTER ACCESSORY, SMA, COM-B (0100112)</t>
  </si>
  <si>
    <t>INVERTER ACCESSORY, SMA, COM-B (0000122)</t>
  </si>
  <si>
    <t>TEMPERATURE SENSOR, OUTSIDE, SMA, SUNNY SENSORBOX</t>
  </si>
  <si>
    <t>ANEMOMETER, SMA, SUNNY SENSORBOX</t>
  </si>
  <si>
    <t xml:space="preserve">INVERTER, SPR-4000x-R, UL01, 4.0KVA, 240 VAC, POSITIVE GROUND	</t>
  </si>
  <si>
    <t>PVM, SPR-305-WHT-U NC</t>
  </si>
  <si>
    <t>PVM, SPR-230-WHT-U N</t>
  </si>
  <si>
    <t>PVM, SPR-225-BLK-U N</t>
  </si>
  <si>
    <t>PVM, SPR-310-WHT-D CAR</t>
  </si>
  <si>
    <t>PVM, UNFR, SPR-310L-WHT-U NCAR</t>
  </si>
  <si>
    <t>PVM, SPR-305E-WHT-D CAR C65</t>
  </si>
  <si>
    <t>PVM, SPR-300-WHT-I N</t>
  </si>
  <si>
    <t>PVM, SPR-295-WHT-D CAR</t>
  </si>
  <si>
    <t>PVM, SPR-290-WHT-D C</t>
  </si>
  <si>
    <t>PVM, UNFR, SPR-290L-WHT-U NC</t>
  </si>
  <si>
    <t>PVM, SPR-290-WHT-D CB</t>
  </si>
  <si>
    <t>PVM, SPR-280/B-WHT-I NC</t>
  </si>
  <si>
    <t>PVM, SPR-270/B-WHT-I NC</t>
  </si>
  <si>
    <t>PVM, UNFR, SPR-305-WHT-I L</t>
  </si>
  <si>
    <t>PVM, UNFR, SPR-300-WHT-I L</t>
  </si>
  <si>
    <t>PVM, SPR-290-WHT-I CK</t>
  </si>
  <si>
    <t>PVM, SPR-230-WHT-I NC</t>
  </si>
  <si>
    <t>PVM, SPR-230-WHT-U NC</t>
  </si>
  <si>
    <t>PVM, SPR-225-WHT-I N</t>
  </si>
  <si>
    <t>PVM, UNFR, SPR-225-WHT-I NL</t>
  </si>
  <si>
    <t>PVM, SPR-225-WHT-I NC</t>
  </si>
  <si>
    <t>PVM, SPR-225-WHT-I NCK</t>
  </si>
  <si>
    <t>PVM, SPR-225-WHT-U NC</t>
  </si>
  <si>
    <t>PVM, SPR-220-BLK-I N</t>
  </si>
  <si>
    <t>PVM, UNFR, SPR-220-BLK-I NL</t>
  </si>
  <si>
    <t>PVM, SPR-220-BLK-U N</t>
  </si>
  <si>
    <t>PVM, SPR-217-WHT-I NC</t>
  </si>
  <si>
    <t>PVM, SPR-217-WHT-U NC</t>
  </si>
  <si>
    <t>PVM, SPR-215-WHT-I N</t>
  </si>
  <si>
    <t>PVM, UNFR, SPR-215-WHT-I NL</t>
  </si>
  <si>
    <t>PVM, SPR-215-WHT-I NC</t>
  </si>
  <si>
    <t>PVM, SPR-215-WHT-I NCK</t>
  </si>
  <si>
    <t>PVM, SPR-215-WHT-I CT</t>
  </si>
  <si>
    <t>PVM, SPR-215-WHT-U N</t>
  </si>
  <si>
    <t>PVM, SPR-215-WHT-U NC</t>
  </si>
  <si>
    <t>PVM, UNFR, SPR-215L-WHT-U NC</t>
  </si>
  <si>
    <t>PVM, UNFR, SPR-210-BLK-I NL</t>
  </si>
  <si>
    <t>PVM, SPR-210-BLK-U N</t>
  </si>
  <si>
    <t>PVM, SPR-210-WHT-I N</t>
  </si>
  <si>
    <t>PVM, UNFR, SPR-210-WHT-I L</t>
  </si>
  <si>
    <t>PVM, UNFR, SPR-210-WHT-I NL</t>
  </si>
  <si>
    <t>PVM, SPR-210-WHT-I NC</t>
  </si>
  <si>
    <t>PVM, SPR-210-WHT-U N</t>
  </si>
  <si>
    <t>PVM, SPR-210-WHT-U NC</t>
  </si>
  <si>
    <t>PVM, UNFR, SPR-210L-WHT-U NC</t>
  </si>
  <si>
    <t>PVM, SPR-205-BLK-I N</t>
  </si>
  <si>
    <t>PVM, UNFR, SPR-205-BLK-I NL</t>
  </si>
  <si>
    <t>PVM, SPR-205-BLK-U N</t>
  </si>
  <si>
    <t>PVM, SPR-200-BLK-I N</t>
  </si>
  <si>
    <t>PVM, SPR-200-BLK-U N</t>
  </si>
  <si>
    <t>PVM, SPR-200-WHT-I NC</t>
  </si>
  <si>
    <t>PVM, 6-CELL WHT-E, SALE SAMPLE</t>
  </si>
  <si>
    <t>PVM, SPR-6C-DEMO-BLK, SunPower 6-Cell Demo Panel, Black</t>
  </si>
  <si>
    <t>PVM, SPR-72C-DEMO-WHT, SunPower 72-Cell Demo Panel, White</t>
  </si>
  <si>
    <t>PVM, SPR-72C-DEMO-BLK, SunPower 72-Cell Demo Panel, Black</t>
  </si>
  <si>
    <t>PVM, SPR-96C-DEMO-WHT, SunPower 96-Cell Demo Panel, White</t>
  </si>
  <si>
    <t>CELL, C150166, BIN TS</t>
  </si>
  <si>
    <t xml:space="preserve">INVERTER ACCESSORY, Colonna Parallelo 4/8 D 800	</t>
  </si>
  <si>
    <t xml:space="preserve">INVERTER ACCESSORY, Fusibile 054 A NH1s gR	</t>
  </si>
  <si>
    <t xml:space="preserve">INVERTER ACCESSORY, Fusibile 160 A NH1s gR	</t>
  </si>
  <si>
    <t>INVERTER ACCESSORY, Trafo BT/BT 270/400 376 KW</t>
  </si>
  <si>
    <t>PVM, SPR-6C-DEMO-WHT, SunPower 6-Cell Demo Panel, White</t>
  </si>
  <si>
    <t>INVERTER, SUNWAY TG 175 800 V MT MOD SUNPOWER</t>
  </si>
  <si>
    <t>INVERTER, SUNWAY TG 180 600 V MT MOD SUNPOWER</t>
  </si>
  <si>
    <t>INVERTER, SUNWAY TG 240 800 V MT MOD SUNPOWER</t>
  </si>
  <si>
    <t>INVERTER, SUNWAY TG 485 800 V MT MOD SUNPOWER</t>
  </si>
  <si>
    <t>INVERTER, SUNWAY TG 610 800 V MT MOD SUNPOWER</t>
  </si>
  <si>
    <t>INVERTER, SUNWAY TG 730 800 V MT MOD SUNPOWER</t>
  </si>
  <si>
    <t>Connector, PV, MC4-M-100, 3-6mm OD, Male (100/box)</t>
  </si>
  <si>
    <t>Connector, PV, MC4-M-10, 3-6mm OD, Male (10/box)</t>
  </si>
  <si>
    <t>Connector, PV, MC4-F-100, 3-6mm OD, Female (100/box)</t>
  </si>
  <si>
    <t>Connector, PV, MC4-F-10, 3-6mm OD, Female (10/box)</t>
  </si>
  <si>
    <t>CABLE, MC, FlexSol XL, 4mm2 (500 meters/Roll)</t>
  </si>
  <si>
    <t>CABLE, MC, FlexSol XL, 6mm2 (400 meters/Roll)</t>
  </si>
  <si>
    <t>CABLE, MC, FlexSol XL, 4mm2 (100 meters/Roll)</t>
  </si>
  <si>
    <t>CABLE, MC, FlexSol XL, 6mm2 (75 meters/Roll)</t>
  </si>
  <si>
    <t>TOOL SET, MC4 Connectors</t>
  </si>
  <si>
    <t>TOOL SET, MC3 Connectors</t>
  </si>
  <si>
    <t>MONITORING ITEM, SPR-PMR-QIG, QUICK INSTALL GUIDE, ENGLISH, SMS 1.2, US/EU (1508-613)</t>
  </si>
  <si>
    <t>INVERTER ACCESSORY, CS-BF-16</t>
  </si>
  <si>
    <t>INVERTER ACCESSORY, CS-BF-24</t>
  </si>
  <si>
    <t>PVM, UNFR, SPR-300L-WHT-D C</t>
  </si>
  <si>
    <t>INVERTER ACCESSORY, SMA, AS-Box-M for Sunny backup</t>
  </si>
  <si>
    <t>INVERTER ACCESSORY, SMA, AS-BOX-M w/ Generator conn</t>
  </si>
  <si>
    <t>INVERTER ACCESSORY, SMA, Interface RS485 for SB series</t>
  </si>
  <si>
    <t>INVERTER ACCESSORY, SMA, Sunny Web Box (RS485 enabled)</t>
  </si>
  <si>
    <t>INVERTER ACCESSORY, SMA, Sunny Island 5048 w/ RS485</t>
  </si>
  <si>
    <t>INVERTER ACCESSORY, SMA, SMA USB piggyback to USB cable</t>
  </si>
  <si>
    <t>INVERTER ACCESSORY, SMA, Sunny Sensor Box RS485</t>
  </si>
  <si>
    <t>INVERTER ACCESSORY, SMA, RS485 for COM SI5048</t>
  </si>
  <si>
    <t>INVERTER ACCESSORY, SMA, School Meter Box</t>
  </si>
  <si>
    <t>INVERTER ACCESSORY, SMA, AMBIENT TEMPERATURE SENSOR</t>
  </si>
  <si>
    <t>INVERTER ACCESSORY, SMA, WIND SENSOR</t>
  </si>
  <si>
    <t>INVERTER ACCESSORY, SMA, SUNNY BEAM WIRELESS DISPLAY (includes 1 radio Piggy-Back)</t>
  </si>
  <si>
    <t>MOUNTING ITEM, Module middle clamp 400230-0</t>
  </si>
  <si>
    <t>MOUNTING ITEM, Schletter Solar, Roof hook Eco G</t>
  </si>
  <si>
    <t>MOUNTING ITEM, Roof hook Eco V</t>
  </si>
  <si>
    <t>MOUNTING ITEM, Mounting rail Solo 05; 4.2mtr</t>
  </si>
  <si>
    <t>MOUNTING ITEM, Connector plate Solo 05 w/HW</t>
  </si>
  <si>
    <t>MOUNTING ITEM, Mounting rail Profile 05 4.2mtr</t>
  </si>
  <si>
    <t>MOUNTING ITEM, Connector plate Profile 05 w/HW</t>
  </si>
  <si>
    <t>MOUNTING ITEM, Plastic End Piece</t>
  </si>
  <si>
    <t>MOUNTING ITEM, M8 square nut holder</t>
  </si>
  <si>
    <t>MOUNTING ITEM, Schletter spring washer</t>
  </si>
  <si>
    <t>BOS kit for 1 - 1.5Kw</t>
  </si>
  <si>
    <t>2 Module frame kit (corrugated)</t>
  </si>
  <si>
    <t>5 Module frame kit (corrugated)</t>
  </si>
  <si>
    <t>INVERTER, Fronius IG15 Grid Inverter</t>
  </si>
  <si>
    <t>INVERTER, Fronius IG20 grid inverter</t>
  </si>
  <si>
    <t>INVERTER, Fronius IG20 outdoor</t>
  </si>
  <si>
    <t>INVERTER, Fronius IG30 grid inverter</t>
  </si>
  <si>
    <t>INVERTER, Fronius IG30 outdoor</t>
  </si>
  <si>
    <t>INVERTER, Fronius IG40 Grid Inverter</t>
  </si>
  <si>
    <t>INVERTER, Fronius IG40 Outdoor</t>
  </si>
  <si>
    <t>2 Module frame kit (tile)</t>
  </si>
  <si>
    <t>INVERTER, Fronius IG60 Grid Inverter</t>
  </si>
  <si>
    <t>INVERTER, Fronius IG60 Outdoor</t>
  </si>
  <si>
    <t>INVERTER ACCESSORY, Fronius IG Com card (separate)</t>
  </si>
  <si>
    <t>5 Module frame kit (tile)</t>
  </si>
  <si>
    <t>BOS 1 - 1.5Kw System w/MC4 connectors</t>
  </si>
  <si>
    <t>INVERTER ACCESSORY, Fronius IG Datalogger EASY card (in)</t>
  </si>
  <si>
    <t>INVERTER ACCESSORY, Fronius IG Personal Display Card (sep)</t>
  </si>
  <si>
    <t>INVERTER ACCESSORY, Fronius IG Personal Display 4,240,114</t>
  </si>
  <si>
    <t>INVERTER ACCESSORY, Fronius Datalogger Web</t>
  </si>
  <si>
    <t>INVERTER, SMA, Sunny Boy 1100 +ve 10yr RS232</t>
  </si>
  <si>
    <t>INVERTER, SMA, Sunny Boy 1700 +ve 10yr RS232</t>
  </si>
  <si>
    <t>INVERTER, SMA, Sunny Boy 2500 grid inverter</t>
  </si>
  <si>
    <t>INVERTER, SMA, Sunny Boy 2500 +ve 10yr RS232</t>
  </si>
  <si>
    <t>INVERTER, SMA, Sunny Boy 3800 grid inverter</t>
  </si>
  <si>
    <t>INVERTER, SMA, Sunny Boy 3800 +ve 10 yr RS232</t>
  </si>
  <si>
    <t>INVERTER, SMA, SMC 5000A +ve 10 yr RS232</t>
  </si>
  <si>
    <t>INVERTER, SMA, Sunny M Central 6000A inverter</t>
  </si>
  <si>
    <t>INVERTER, SMA, SMC 6000A +ve 10 yr RS232</t>
  </si>
  <si>
    <t>INVERTER ACCESSORY, SMA, Sunny Tower ST6</t>
  </si>
  <si>
    <t>INVERTER ACCESSORY, SMA, Sunny Backup SBU5000</t>
  </si>
  <si>
    <t>BOS Upgrade to 2Kw System w/MC4 connectors</t>
  </si>
  <si>
    <t>BOS Upgrade to 2Kw System w/MC3 connectors</t>
  </si>
  <si>
    <t>Monitoring Kit, MON-SPRm-1, SPRm Inverter Kit 1 w/o Wireless Display</t>
  </si>
  <si>
    <t>Monitoring Kit, MON-SPRm-2, SPRm Inverter Kit 2 w/o Wireless Display</t>
  </si>
  <si>
    <t>Monitoring Kit, MON-SPRm-3, SPRm Inverter Kit 3 w/o Wireless Display</t>
  </si>
  <si>
    <t>INVERTER, Sunny Boy 3300 +ve 10yr RS232</t>
  </si>
  <si>
    <t>INVERTER, Sunny Boy 3300 grid inverter</t>
  </si>
  <si>
    <t>Mounting Item, Module end clamp 400446-0</t>
  </si>
  <si>
    <t>MARKETING, RITE BUDGET ROLL UP 850</t>
  </si>
  <si>
    <t>INVERTER, Fronius IG15 Outdoor</t>
  </si>
  <si>
    <t>ASSY, MODULE, T5, 300L-WHT-D C, C50 (1507-352-04)</t>
  </si>
  <si>
    <t>ASSY, MODULE, T5, 315EL-WHT-U CAR, C65 (1507-352-05)</t>
  </si>
  <si>
    <t>ASSY, MODULE, T5, 290L-WHT-U NC, C50 (1507-352-06)</t>
  </si>
  <si>
    <t>INVERTER ACCESSORY, SMA INTERFACE CARD (RS232)</t>
  </si>
  <si>
    <t>INVERTER, SMA, SMC 7000HV +ve 10 yr RS232</t>
  </si>
  <si>
    <t>TORQUE ARM, BOSSES, ROUND STACKING, T20, V2.3 (1508-527)</t>
  </si>
  <si>
    <t>Mounting Systems, EU, Base rail 19/63 0.6 m (610-0565)</t>
  </si>
  <si>
    <t>Mounting Systems, EU, Calotte for Roofing Ccrew 4,5x45 (807-0112)</t>
  </si>
  <si>
    <t>Mounting Systems, EU, Kompriband, Length 3.30m (153-0011)</t>
  </si>
  <si>
    <t>Mounting Systems, EU, Set: 6 x Steps f. Landsc. Adapt. (720-0402)</t>
  </si>
  <si>
    <t>Mounting Systems, EU, Adapter for Portrait Install., w/ EPDM (712-0045)</t>
  </si>
  <si>
    <t>Mounting Systems, EU, Adapter for Landscape Install., Long, w/ EPDM (712-0047)</t>
  </si>
  <si>
    <t>Mounting Systems, EU, Adapter for Landscape Install., Short, w. EPDM (712-0046)</t>
  </si>
  <si>
    <t>CABINET, DC PARALLEL, ESANTERNO, 5/10-D-800V, SUNWAY TG610/730, ZZEAI8D810 (1508-694)</t>
  </si>
  <si>
    <t>Mounting Systems, EU, Set: 20 x Shims f. port.adapt. (720-0401)</t>
  </si>
  <si>
    <t>Mounting Systems, EU, Profile Filler (814-0048)</t>
  </si>
  <si>
    <t>Mounting Systems, EU, Pleated Lead Strip 250 mm (814-0303)</t>
  </si>
  <si>
    <t>Mounting Systems, EU, UBIFLEX 300mm (814-0065)</t>
  </si>
  <si>
    <t>Mounting Systems, EU, Set: 10 x Theta Mounting Aid (720-0420)</t>
  </si>
  <si>
    <t xml:space="preserve">Mounting Systems, EU, Base rail 25/65 0.6m (610-0517)	</t>
  </si>
  <si>
    <t>Mounting Systems, EU, Base rail 13/58 0.6m (610-0519)</t>
  </si>
  <si>
    <t>Mounting Systems, EU, Theta Corrugated Metal Sheet, Flattened (801-0040)</t>
  </si>
  <si>
    <t>Mounting Systems, EU, Upper Flashing, 2m (801-0045)</t>
  </si>
  <si>
    <t>INVERTER ACCESSORY, CS-BF-8</t>
  </si>
  <si>
    <t>Mounting Systems, EU, Lateral Flashing Left/Right, 2m (801-0044)</t>
  </si>
  <si>
    <t>Mounting Systems, EU, Base rail 7/49 1.2m (610-0523)</t>
  </si>
  <si>
    <t>Mounting Systems, EU, Theta Corrugated Metal Sheets 1067mmx1500mm; 0,8mm (801-0031)</t>
  </si>
  <si>
    <t>Mounting Systems, EU, Base rail 13/58 1.2m (610-0526)</t>
  </si>
  <si>
    <t>Mounting Systems, EU, Theta Corrugated Metal Sheets 1067mmx1000mm; 0,8mm (801-0032)</t>
  </si>
  <si>
    <t>Mounting Systems, EU, Base rail 25/65 1.2m (610-0527)</t>
  </si>
  <si>
    <t>Mounting Systems, EU, Set: 100 x Theta Self-Tapping Screw H 4,2x25 7983 A2 (720-0425)</t>
  </si>
  <si>
    <t xml:space="preserve">Mounting Systems, EU, Base rail 19/63 1.2 m (610-0566)	</t>
  </si>
  <si>
    <t xml:space="preserve">Mounting Systems, EU, Base rail 19/63 1.8 m (610-0567)	</t>
  </si>
  <si>
    <t xml:space="preserve">Mounting Systems, EU, Base rail 19/63 2.4 m (610-0568)	</t>
  </si>
  <si>
    <t xml:space="preserve">Mounting Systems, EU, Base rail 16/63 3.0 m (610-0569)	</t>
  </si>
  <si>
    <t>Mounting Systems, EU, Set: 100 x Theta JT3-2-6,5x65mm E16/2,0 (720-0423)</t>
  </si>
  <si>
    <t>Mounting Systems, EU, Base Rail 25/65 3m (800-0527)</t>
  </si>
  <si>
    <t>Mounting Systems, EU, Base Rail 13/58 3m (800-0525)</t>
  </si>
  <si>
    <t xml:space="preserve">Mounting Systems, EU, End Cap 7/49 Black Anodized, Pre-assembled (712-0061)	</t>
  </si>
  <si>
    <t xml:space="preserve">Mounting Systems, EU, End Cap 13/58 Black Anodized, Pre-assembled (712-0062)	</t>
  </si>
  <si>
    <t xml:space="preserve">Mounting Systems, EU, End Cap 19/63 Black Anodized, Pre-assembled (712-0063)	</t>
  </si>
  <si>
    <t xml:space="preserve">Mounting Systems, EU, End cap 25/65 black anodized, pre-assembled (712-0064)	</t>
  </si>
  <si>
    <t>Mounting Systems, EU, Kit: Roof Hook for Slate /20 (720-0007)</t>
  </si>
  <si>
    <t xml:space="preserve">Mounting Systems, EU, 50 Joiner-pieces 7/49 (720-0061)	</t>
  </si>
  <si>
    <t>Mounting Systems, EU, Kit: Roof Hook 170 Standard /20 (720-0009)</t>
  </si>
  <si>
    <t>Mounting Systems, EU, Kit: Roof Hook for Heavy Snow /20 (720-0010)</t>
  </si>
  <si>
    <t>Mounting Systems, EU, Kit: Roof Hook for Slate /50 (720-0011)</t>
  </si>
  <si>
    <t>Mounting Systems, EU, Kit: Roof Hook 170 Standard /50 (720-0013)</t>
  </si>
  <si>
    <t>Mounting Systems, EU, Kit: Hanger Bolt M10x200 /50 (720-0014)</t>
  </si>
  <si>
    <t>Mounting Systems, EU, Kit: Hanger Bolt M12x300 /50 (720-0015)</t>
  </si>
  <si>
    <t xml:space="preserve">Mounting Systems, EU, Base Rail 7/49 3m (800-0504)	</t>
  </si>
  <si>
    <t>Mounting Systems, EU, Kit: Hanger Bolt M10x200 /100 (720-0016)</t>
  </si>
  <si>
    <t>Mounting Systems, EU, Kit: Hanger Bolt M12x300 /100 (720-0017)</t>
  </si>
  <si>
    <t>Mounting Systems, EU, Kit: Anti-Slip Protection /10 (720-0030)</t>
  </si>
  <si>
    <t>Mounting Systems, EU, Kit: Anti-Slip Protection /25 (720-0031)</t>
  </si>
  <si>
    <t>Mounting Systems, EU, Kit: Standard Connection Rail to Roof Hook /20 (720-0051)</t>
  </si>
  <si>
    <t>Mounting Systems, EU, Kit: Standard Connection Rail to Roof Hook /50 (720-0053)</t>
  </si>
  <si>
    <t>Mounting Systems, EU, 4 x Telescoping 13/58 (720-0270)</t>
  </si>
  <si>
    <t xml:space="preserve">Mounting Systems, EU, 100 Joiner-pieces 7/49 (720-0064)	</t>
  </si>
  <si>
    <t>Mounting Systems, EU, 50 Splices 13/58 (720-0254)</t>
  </si>
  <si>
    <t xml:space="preserve">Mounting Systems, EU, 25 Joiner-pieces 7/49 (720-0066)	</t>
  </si>
  <si>
    <t xml:space="preserve">Mounting Systems, EU, Base rail 7/49 1.8m (610-0533)	</t>
  </si>
  <si>
    <t>Mounting Systems, EU, Base rail 13/58 1.8m (610-0536)</t>
  </si>
  <si>
    <t>INVERTER, SATCON, POWERGATE PLUS, 30KW, 480V, 60HZ, POS GND, GFI, PVS-30-4UL, STD WARRANTY (1508-564)</t>
  </si>
  <si>
    <t>Mounting Systems, EU, Base rail 25/65 1.8m (610-0537)</t>
  </si>
  <si>
    <t xml:space="preserve">Mounting Systems, EU, Base rail 7/49 2.4m (610-0543)	</t>
  </si>
  <si>
    <t>Mounting Systems, EU, 25 Splices 13/58 (720-0253)</t>
  </si>
  <si>
    <t>Mounting Systems, EU, Base rail 13/58 2.4m (610-0545)</t>
  </si>
  <si>
    <t xml:space="preserve">Mounting Systems, EU, 12 Joiner-pieces 19/63 (720-0068)	</t>
  </si>
  <si>
    <t>Mounting Systems, EU, Base rail 25/65 2.4m (610-0547)</t>
  </si>
  <si>
    <t xml:space="preserve">Mounting Systems, EU, Base rail 19/63 0.6 m (610-0565)	</t>
  </si>
  <si>
    <t>INVERTER, SATCON, POWERGATE PLUS, 50KW, 480V, 60HZ, POS GND, GFI, PVS-50-4UL, STD WARRANTY (1508-565)</t>
  </si>
  <si>
    <t>PVM, SPR-210N-WHT-I-C</t>
  </si>
  <si>
    <t xml:space="preserve">Mounting Systems, EU, 4 Telescoping 19/63 USA (720-0227)	</t>
  </si>
  <si>
    <t xml:space="preserve">Mounting Systems, EU, 20 Inter-Module Clamps, Frames 46mm (720-0071)	</t>
  </si>
  <si>
    <t>INVERTER, SATCON, POWERGATE PLUS, 75KW, 480V, 60HZ, POS GND, GFI, PVS-75-4UL, STD WARRANTY (1508-566)</t>
  </si>
  <si>
    <t>INVERTER, SATCON, POWERGATE PLUS, 100KW, 480V, 60HZ, POS GND, GFI, PVS-100-4UL, STD WARRANTY (1508-567)</t>
  </si>
  <si>
    <t>INVERTER, SATCON, POWERGATE PLUS, 135KW, 480V, 60HZ, POS GND, GFI, PVS-135-4UL, STD WARRANTY (1508-568)</t>
  </si>
  <si>
    <t xml:space="preserve">Mounting Systems, EU, 6 Telescoping  7/49 (720-0225)	</t>
  </si>
  <si>
    <t>INVERTER, SATCON, POWERGATE PLUS, 500KW, 480V, 60HZ, POS GND, GFI, PVS-500-4UL, STD WARRANTY (1508-569)</t>
  </si>
  <si>
    <t>INVERTER, SATCON, POWERGATE PLUS, 30KW, 480V, 60HZ, NEG GND, GFI, PVS-30-4UL, STD WARRANTY (1508-574)</t>
  </si>
  <si>
    <t xml:space="preserve">Mounting Systems, EU, 20 Inter-Module Clamps, Frames 46mm Black (720-0103)	</t>
  </si>
  <si>
    <t>INVERTER, SATCON, POWERGATE PLUS, 50KW, 480V, 60HZ, NEG GND, GFI, PVS-50-4UL, STD WARRANTY (1508-575)</t>
  </si>
  <si>
    <t>INVERTER, SATCON, POWERGATE PLUS, 500KW, 480V, 60HZ, NEG GND, GFI, PVS-500-4UL, STD WARRANTY(1508-579)</t>
  </si>
  <si>
    <t xml:space="preserve">Mounting Systems, EU, 50 Inter-Module Clamps, Frames 46mm (720-0074)	</t>
  </si>
  <si>
    <t>INVERTER, SATCON, POWERGATE PLUS, 135KW, 480V, 60HZ, NEG GND, GFI, PVS-135-4UL, STD WARRANTY (1508-578)</t>
  </si>
  <si>
    <t>INVERTER, SATCON, POWERGATE PLUS, 100KW, 480V, 60HZ, NEG GND, GFI, PVS-100-4UL, STD WARRANTY (1508-577)</t>
  </si>
  <si>
    <t>Mounting Systems, EU, 50 X-Stones 90  (720-0196)</t>
  </si>
  <si>
    <t>INVERTER, SATCON, POWERGATE PLUS, 75KW, 480V, 60HZ, NEG GND, GFI, PVS-75-4UL, STD WARRANTY (1508-576)</t>
  </si>
  <si>
    <t xml:space="preserve">Mounting Systems, EU, 50 Inter-Module Clamps, Frames 46mm Black (720-0104)	</t>
  </si>
  <si>
    <t>Mounting Systems, EU, 20 X-Stones 90  (720-0194)</t>
  </si>
  <si>
    <t xml:space="preserve">Mounting Systems, EU, 100 Inter-Module Clamps, Frames 46mm (720-0077)	</t>
  </si>
  <si>
    <t xml:space="preserve">Mounting Systems, EU, 100 Inter-Module Clamps, Frames 46mm Black (720-0105)	</t>
  </si>
  <si>
    <t xml:space="preserve">Mounting Systems, EU, 100 Module End-Clamps, Frames 46mm, Black (720-0509)	</t>
  </si>
  <si>
    <t>Mounting Systems, EU, 10 Module End-Clamps, Frames 46mm (720-0127)</t>
  </si>
  <si>
    <t xml:space="preserve">Mounting Systems, EU, 100 Module End-Clamps, Frames 46mm (720-0187)	</t>
  </si>
  <si>
    <t>Mounting Systems, EU, 10 Module End-clamps, Frames 46mm, Black (720-0271)</t>
  </si>
  <si>
    <t>INVERTER ACCESSORY, SPRf DC Connector Kit</t>
  </si>
  <si>
    <t>MONITORING ITEM, SPR-PMR-DLOG, DATA LOGGER, SMS 1.1, HARD-WIRED, US/EU (1508-719)</t>
  </si>
  <si>
    <t>MONITORING ITEM, SPR-PMR-DLOG, DATA LOGGER, SMS 1.2, HARD-WIRED, US/EU (1508-720)</t>
  </si>
  <si>
    <t>ASSY, TILE, PG, SPR-305L-WHT-U NC (1507-177-03)</t>
  </si>
  <si>
    <t>ASSY, TILE, PG, SPR-290L-WHT-U NC (1507-177-04)</t>
  </si>
  <si>
    <t>Connector, PV, MC4-ML-100, 5.5-9mm OD, Male (100/box)</t>
  </si>
  <si>
    <t>Connector, PV, MC4-ML-10, 5.5-9mm OD, Male (10/box)</t>
  </si>
  <si>
    <t>Connector, PV, MC4-FL-100, 5.5-9mm OD, Female (100/box)</t>
  </si>
  <si>
    <t>Connector, PV, MC4-FL-10, 5.5-9mm OD, Female (10/box)</t>
  </si>
  <si>
    <t>Mounting Systems, EU, Kit: Roof hook for flat tiles /20 (720-0097)</t>
  </si>
  <si>
    <t>Mounting Systems, EU, Adapter for Landscape Install., Short, w/ EPDM (712-0069)</t>
  </si>
  <si>
    <t>Mounting Systems, EU, Kit: Roof hook for flat tiles /50 (720-0098)</t>
  </si>
  <si>
    <t>Mounting Systems, EU, Theta Corrugated metal sheet, flattened 2,05m (801-0051)</t>
  </si>
  <si>
    <t>Mounting Systems, EU, Lateral flashing left/right corrugated, 2m (801-0047)</t>
  </si>
  <si>
    <t>Mounting Systems, EU, 14 x Roof hook for battens black (720-0505)</t>
  </si>
  <si>
    <t>Mounting Systems, EU, Set: 100 x Theta self-tapping screw H 4,2x25 7983 A2 (720-0525)</t>
  </si>
  <si>
    <t>Mounting Systems, EU, 50 Module end-clamps, frames 46mm, black (720-0509)</t>
  </si>
  <si>
    <t>Mounting Systems, EU, 50 Module end-clamps, frames 46mm (720-0157)</t>
  </si>
  <si>
    <t>Mounting Systems, EU, 50 Inter-module clamps, frames 46mm black incl grounding clip (720-0531)</t>
  </si>
  <si>
    <t>Mounting Systems, EU, 50 Inter-module clamps, frames 46mm incl grounding clip (720-0530)</t>
  </si>
  <si>
    <t>Mounting Systems, EU, 20 Inter-module clamps, frames 46mm black incl grounding clip (720-0529)</t>
  </si>
  <si>
    <t>Mounting Systems, EU, 20 Inter-module clamps, frames 46mm incl grounding clip (720-0528)</t>
  </si>
  <si>
    <t>SERVICE CREDIT  SMS</t>
  </si>
  <si>
    <t>PVM, SPR-200N-WHT-I C</t>
  </si>
  <si>
    <t>MOUNTING ITEM, Tile Racking Kit - SPWR Modules 3 x 72 Cell or 2 x 96 Cell</t>
  </si>
  <si>
    <t xml:space="preserve">MOUNTING ITEM, Tile Racking Kit - SPWR Modules 7 x 72 Cell or 5 x 96 Cell (Includes Separator Kit)	</t>
  </si>
  <si>
    <t xml:space="preserve">MOUNTING ITEM, Tile Racking Kit Joiner (2 Joiner Plates, 2 End Clamps and Hardware)	</t>
  </si>
  <si>
    <t xml:space="preserve">MOUNTING ITEM, Corrugated Racking Kit (Easy Rail) SPWR Modules 3 x 72 Cell or 2 x 96 Cell Incl Joiner Kit	</t>
  </si>
  <si>
    <t xml:space="preserve">MOUNTING ITEM, Corrugated Racking Kit (Easy Rail) SPWR Modules 5 x 72 Cell (Includes Joiner Kit)	</t>
  </si>
  <si>
    <t>MOUNTING ITEM, Corrugated Racking Kit (Easy Rail) SPWR Modules 7 x 72 Cell or 5 x 96 Cell (Includes Joiner &amp; Separator Kit)</t>
  </si>
  <si>
    <t>INVERTER ACCESSORY, Configurazione CS-SP-24 (SW000A052)</t>
  </si>
  <si>
    <t>Beta SMS 1.2 Datalogger (1508-464)</t>
  </si>
  <si>
    <t>ASSY, MODULE, T5, 310L-WHT-U NCAR, C50 (1507-352-07)</t>
  </si>
  <si>
    <t>Beta SMS 1.2 Gateway (1508-465)</t>
  </si>
  <si>
    <t>Beta SMS 1.2 Wireless Display (1508-463)</t>
  </si>
  <si>
    <t>Beta SMS 1.2 External Mount Enclosures (1508-553)</t>
  </si>
  <si>
    <t>Beta SMS 1.2 External Mount Accessory Kit (1508-552)</t>
  </si>
  <si>
    <t>ASSY, FIXTURE, INSTALLATION, PV ATTACH, SINGLE MODULE, T20, T0 (1508-329)</t>
  </si>
  <si>
    <t>ASSY, WIRE-TRAY, T10, METRIC (1508-782)</t>
  </si>
  <si>
    <t>Mounting Kit, BOS kit 16AC-One String</t>
  </si>
  <si>
    <t>Mounting Kit, BOS kit 25AC-Two String</t>
  </si>
  <si>
    <t>Mounting Kit, BOS kit 32AC-Three String</t>
  </si>
  <si>
    <t>Mounting Kit, BOS kit 16AC-Two String</t>
  </si>
  <si>
    <t>Mounting Kit, GSI, BOS kit 25A DC plus terminals / 32A AC - MC3 - 3 x 11m, 1x 2m</t>
  </si>
  <si>
    <t>Mounting Kit, GSI, BOS kit 25A DC plus terminals / 40A AC - MC3 - 3 x 11m, 1 x 2m</t>
  </si>
  <si>
    <t>Mounting Kit, GSI, BOS kit 16A DC plus terminals / 32A AC - MC3 - 2 x 11m, 1 x 2m</t>
  </si>
  <si>
    <t>ASSY, CABLE, JUMPER, MC4 SKT/MC4 PIN, H-S DUAL 12583780, 5 FT. (1508-735)</t>
  </si>
  <si>
    <t>ASSY, CABLE, JUMPER, MC4 SKT/MC4 PIN, H-S DUAL 12583780, 10 FT. (1508-736)</t>
  </si>
  <si>
    <t>ASSY, CABLE, JUMPER, MC4 SKT/MC4 PIN, H-S DUAL 12583780, 20 FT. (1508-737)</t>
  </si>
  <si>
    <t>PVM, SPR-300-WHT-I N CK</t>
  </si>
  <si>
    <t>Configurazione progetto REMOTE SUNWAY per PC Impianto</t>
  </si>
  <si>
    <t>Mounting Systems, EU, Set: 30 x Theta self-tapping screw H 4,2x25 7983 A2 (720-0526)</t>
  </si>
  <si>
    <t>Mounting Systems, EU, Set: 30 x calottes for self tapping screw (720-0543)</t>
  </si>
  <si>
    <t>Mounting Systems, EU, Set: 100 x calottes for self tapping screw (720-0544)</t>
  </si>
  <si>
    <t>Mounting Systems, EU, Set: 30 x SDe JT3-2-6,5x65mm E16/2,0 (720-0545)</t>
  </si>
  <si>
    <t>Mounting Systems, EU, 10 x end cap 13/58 black anodized, pre-ass. left+right (720-0550)</t>
  </si>
  <si>
    <t>Mounting Systems, EU, 10 x end cap 25/65 black anodized, pre-ass. left+right (720-0552)</t>
  </si>
  <si>
    <t>Mounting Systems, EU, T corner left (801-0048)</t>
  </si>
  <si>
    <t>Mounting Systems, EU, T corner right (801-0049)</t>
  </si>
  <si>
    <t>Mounting Systems, EU, retaining clip (814-0002)</t>
  </si>
  <si>
    <t>Mounting Systems, EU, metal roll, 10m (814-0309)</t>
  </si>
  <si>
    <t>ASSY, T20, V2.3 BETA, 6MM TT, SPR-305-WHT-D C (1508-403-06)</t>
  </si>
  <si>
    <t>ASSY, T20, V2.3 BETA, 6MM TT, SPR-290-WHT-D C (1508-403-12)</t>
  </si>
  <si>
    <t>COMBINER BOX, ESANTERNO, 16 STR, CS-BP-16-800, ZZEP1L0810 (1508-885)</t>
  </si>
  <si>
    <t>COMBINER BOX, ESANTERNO, 24 STR, CS-BP-24-800, ZZEP1P0810 (1508-886)</t>
  </si>
  <si>
    <t>COMBINER BOX, ESANTERNO, 24 STR, CS-BF-24, ZZEP9P0000 (1508-888)</t>
  </si>
  <si>
    <t>RELAY, NV10P, ESANTERNO, SWITCHGEAR, ZZ4503101 (1508-891)</t>
  </si>
  <si>
    <t>Mounting Systems, EU, 25x splice 25/65 (720-0556)</t>
  </si>
  <si>
    <t>Mounting Systems, EU, 50x splice 25/65 (720-0557)</t>
  </si>
  <si>
    <t>Mounting Systems, EU, 4x telescoping 25/65 (720-0558)</t>
  </si>
  <si>
    <t>TORQUE ARM, DRIVE SKID, T20, V2.3 (1508-626)</t>
  </si>
  <si>
    <t>PIN, PIVOT, DRIVE SKID, 17-4PH, 1.25 IN BORE, T20, V2.3 (1508-627)</t>
  </si>
  <si>
    <t>ASSY, 460V GEARMOTOR, 15 TON ACTUATOR, T20, V2.3 (1508-643)</t>
  </si>
  <si>
    <t>DRIVE STRUT, 100MM SQUARE, 5.07M, DRIVE SKID, IDLE, T20, V2.3 (1508-644)</t>
  </si>
  <si>
    <t>DRIVE STRUT, 100MM SQUARE, 5.17M, DRIVE SKID, T20, V2.3 (1508-710)</t>
  </si>
  <si>
    <t>BEARING, RADIAL, UPPER PIN, DRIVE SKID, T20, V2.3 (1508-711)</t>
  </si>
  <si>
    <t>BEARING, THRUST, PIVOT PIN, DRIVE SKID, T20, V2.3 (1508-712)</t>
  </si>
  <si>
    <t>BEARING, RADIAL, LOWER PIN, DRIVE SKID, T20, V2.3 (1508-713)</t>
  </si>
  <si>
    <t>WASHER, FLAT, ID 1.375 , OD 2.5 , THK 0.165", 18-8/304 SS (1508-744)</t>
  </si>
  <si>
    <t>PIN, COTTER, 5/16" OD, 2.50" LONG, 18-8/304 SS (1508-745)</t>
  </si>
  <si>
    <t>ASSY, DRIVE STRUT, 100MM SQUARE, 5.17 M, DRIVE SKID, T20, V2.3 (1508-757)</t>
  </si>
  <si>
    <t>PIN, COTTER, 5/16” OD X 2.0” LONG, 18-8/304 SS (1508-869)</t>
  </si>
  <si>
    <t>RESISTOR, 120 OHM, MODBUS RS-485 TERMINATION (1508-821)</t>
  </si>
  <si>
    <t>CABLE TRAY, 6" WIDTH, 9" RUNG SPACING, COOPER B-LINE, 24A09-06-240 W/ SS6 (1508-822)</t>
  </si>
  <si>
    <t>METER, 100A, SMALL CT, VERIS, H8036-0100-2 (1508-823)</t>
  </si>
  <si>
    <t>METER, 300A, SMALL CT, VERIS, H8036-0300-2 (1508-824)</t>
  </si>
  <si>
    <t>METER, 400A, MEDIUM CT, VERIS, H8036-0400-3 (1508-825)</t>
  </si>
  <si>
    <t>METER, 800A, MEDIUM CT, VERIS, H8036-0800-3 (1508-826)</t>
  </si>
  <si>
    <t>REDUCER, OFFSET, 12" TO 6", COOPER B-LINE, 4A-12-SR06NS W/ SS6 (1508-827)</t>
  </si>
  <si>
    <t>COVER, REDUCER, 12" TO 6", COOPER B-LINE, 807A40-12-SR06NS (1508-828)</t>
  </si>
  <si>
    <t>FUSE, DC FEEDER FOR SMA SC250U, A70P200-4, 200A (1508-829)</t>
  </si>
  <si>
    <t>FUSE, DC FEEDER FOR SMA SC250U, A70P250-4, 250A (1508-830)</t>
  </si>
  <si>
    <t>FUSE, DC FEEDER FOR SMA SC250U, A70P300-4, 300A (1508-831)</t>
  </si>
  <si>
    <t>FUSE, DC FEEDER FOR SMA SC250U, A70P350-4, 350A (1508-832)</t>
  </si>
  <si>
    <t>FUSE, DC FEEDER FOR SMA SC500U, LDC400, 400A (1508-833)</t>
  </si>
  <si>
    <t>FUSE, DC FEEDER FOR SMA SC500U, LDC450, 450A (1508-834)</t>
  </si>
  <si>
    <t>INVERTER, SMA, SC500U, 500KW, 480V, 60HZ, NEG GND, GFI, MODBUS GATEWAY, STD WARRANTY (1508-848)</t>
  </si>
  <si>
    <t>FUSE, DC FEEDER FOR SMA SC500U, LDC250, 250A (1508-851)</t>
  </si>
  <si>
    <t>FUSE, DC FEEDER FOR SMA SC500U, LDC300, 300A (1508-852)</t>
  </si>
  <si>
    <t>FUSE, DC FEEDER FOR SMA SC500U, LDC350, 350A (1508-853)</t>
  </si>
  <si>
    <t>CABINET, METER &amp; CT, 800A, 13-JAW, AMERICAN MIDWEST POWER, CT8-4L (1508-858)</t>
  </si>
  <si>
    <t>Mounting Item, Corrugated Racking Kit - SPWR Modules 3 x 72 cell or 2 x 96 cell</t>
  </si>
  <si>
    <t>Mounting Item, Corrugated Racking Kit - SPWR Modules 7 x 72 cell or 5 x 96 cell</t>
  </si>
  <si>
    <t>Mounting Item, Corrugated Racking Kit - SPWR Modules 5 x 72 cell</t>
  </si>
  <si>
    <t>DRIVE STRUT, 80MM SQUARE, 5.17M, DRIVE SKID, IDLE, T20, RETROFIT (1508-874)</t>
  </si>
  <si>
    <t>DRIVE STRUT, 80MM SQUARE, 5.27M, DRIVE SKID, T20, RETROFIT (1508-875)</t>
  </si>
  <si>
    <t>ASSY, DRIVE STRUT, 80MM SQUARE, 5.27 M, DRIVE SKID, T20, RETROFIT (1508-876)</t>
  </si>
  <si>
    <t>DRIVE STRUT, 80MM SQUARE, 3.84M, DRIVE SKID, IDLE, T20, RETROFIT (1508-877)</t>
  </si>
  <si>
    <t>DRIVE STRUT, 80MM SQUARE, 3.94M, DRIVE SKID, T20, RETROFIT (1508-878)</t>
  </si>
  <si>
    <t>ASSY, DRIVE STRUT, 80MM SQUARE, 3.94 M, DRIVE SKID, T20, RETROFIT (1508-879)</t>
  </si>
  <si>
    <t>PVM, SPR-305-WHT-D C, 1000V</t>
  </si>
  <si>
    <t>PVM, SPR-290-WHT-D C, 1000V, NON AR GLASS</t>
  </si>
  <si>
    <t>CELL, MOTECH, Multi, 2BB, IM156, 200 , 3.89 - 3.94W (1508-968-01)</t>
  </si>
  <si>
    <t>CELL, MOTECH, Multi, 2BB, IM156, 200µ, 3.94 - 3.99W (1508-968-02)</t>
  </si>
  <si>
    <t>CELL, MOTECH, Multi, 2BB, IM156, 200, 3.99 - 4.04W (1508-968-03)</t>
  </si>
  <si>
    <t>CELL, MOTECH, Multi, 2BB, IM156µ, 200 , 4.04 - 4.09W (1508-968-04)</t>
  </si>
  <si>
    <t>CELL, MOTECH, Multi, 2BB, IM156, 200 , 4.09 - 4.14W (1508-968-05)</t>
  </si>
  <si>
    <t>CELL, MOTECH, Multi, 2BB, IM156, 200, 4.14 - 4.19W (1508-968-06)</t>
  </si>
  <si>
    <t>FREIGHT</t>
  </si>
  <si>
    <t>CELL, CSUN,  SE-MONO, 156MM, TDBSE156?185, 18.5%, 4.41Wp (1508-936-01)</t>
  </si>
  <si>
    <t>PVM, SPR-415E-WHT-D C, NON-AR GLASS</t>
  </si>
  <si>
    <t>CELL, CSUN,  SE-MONO, 156MM, TDBSE156?177, 17.75%, 4.23Wp (1508-936-04)</t>
  </si>
  <si>
    <t>CELL, CSUN,  SE-MONO, 156MM, TDBSE156?175, 17.5%, 4.17Wp (1508-936-05)</t>
  </si>
  <si>
    <t>CELL, CSUN,  SE-MONO, 156MM, TDBSE156?172, 17.25%, 4.12Wp (1508-936-06)</t>
  </si>
  <si>
    <t>CELL, CSUN,  SE-MONO, 156MM, TDBSE156?170, 17.0%, 4.06Wp (1508-936-07)</t>
  </si>
  <si>
    <t>BANNER, VINYL, "SUNPOWER", OUTDOOR USE, 6'X3' (1508-979)</t>
  </si>
  <si>
    <t>TRANSFORMER, CURRENT, SPLIT CORE, 0.333V, 100A, 0.75  ID, CONTINENTAL CONTROL SYSTEMS CTS-075-100  (1508-911)</t>
  </si>
  <si>
    <t>METER, STANDARD PULSE, WATTNODE, EU, 230VAC, 4.00Hz, CONTINENTAL CONTROL SYSTEMS WNB-3Y-400-P (1508-912)</t>
  </si>
  <si>
    <t>BACK PANEL, SUNPOWER CONSUMPTION ENCLOSURE  (1508-925)</t>
  </si>
  <si>
    <t>ENCLOSURE, CONSUMPTION MONITOR, SPR-PMR-CMENC, STAHLIN J1008W WITH HOLES, DWG55981008 (1508-930)</t>
  </si>
  <si>
    <t>ASSY, HOLE PLUG, FIBERGLASS, STAHLIN, HPSERIES-1.5 (1508-980)</t>
  </si>
  <si>
    <t>ASSY, PCB, ADAPTER, CONSUMPTION MONITOR (1508-847)</t>
  </si>
  <si>
    <t>ADAPTER, CABLE, WATTNODE-DATA LOGGER (1508-932)</t>
  </si>
  <si>
    <t>PVM, SPR-305-WHT-I-NC1</t>
  </si>
  <si>
    <t>Inverter, SPR-1100M-DE-RFB</t>
  </si>
  <si>
    <t>Inverter, SPR-3300M-DE-RFB</t>
  </si>
  <si>
    <t>Inverter, SPR-3800M-DE-RFB</t>
  </si>
  <si>
    <t>Inverter, SPR-4600M-DE-RFB</t>
  </si>
  <si>
    <t>Inverter, SPR-5000M-DE-RFB</t>
  </si>
  <si>
    <t>Inverter, SPR-6000M-DE-RFB</t>
  </si>
  <si>
    <t>Inverter, SPR-7000M-DE-RFB</t>
  </si>
  <si>
    <t>INVERTER, SPR-3300F-EU-RFB with ComCard</t>
  </si>
  <si>
    <t>INVERTER, SPR-4000F-EU-RFB with ComCard</t>
  </si>
  <si>
    <t>INVERTER, SPR-6500F-EU-RFB with ComCard</t>
  </si>
  <si>
    <t>INVERTER, SPR-8000F-EU-RFB with ComCard</t>
  </si>
  <si>
    <t>INVERTER, SPR-10000F-EU-RFB with ComCard</t>
  </si>
  <si>
    <t>INVERTER, SPR-12000F-EU-RFB with ComCard</t>
  </si>
  <si>
    <t>INVERTER, SPR-3300F-EU with ComCard &amp; SMS</t>
  </si>
  <si>
    <t>INVERTER, SPR-4000F-EU with ComCard &amp; SMS</t>
  </si>
  <si>
    <t>INVERTER, SPR-6500F-EU with ComCard &amp; SMS</t>
  </si>
  <si>
    <t>INVERTER, SPR-8000F-EU with ComCard &amp; SMS</t>
  </si>
  <si>
    <t>INVERTER, SPR-10000F-EU with ComCard &amp; SMS</t>
  </si>
  <si>
    <t>INVERTER, SPR-12000F-EU with ComCard &amp; SMS</t>
  </si>
  <si>
    <t>PVM, SPR-230E-BLK-D CAR, AR GLASS</t>
  </si>
  <si>
    <t>INVERTER, SPR-3300f with Comcard &amp; SMS</t>
  </si>
  <si>
    <t>INVERTER, SPR-4000f with ComCard &amp; SMS</t>
  </si>
  <si>
    <t>INVERTER, SPR-6500f with Comcard &amp; SMS</t>
  </si>
  <si>
    <t>INVERTER, SPR-8000f with ComCard &amp; SMS</t>
  </si>
  <si>
    <t>INVERTER, SPR-11400f-208 with Comcard &amp; SMS</t>
  </si>
  <si>
    <t>PVM, SPR-235E-BLK-D CAR, AR GLASS</t>
  </si>
  <si>
    <t>PVM, SPR-238E-WHT-D AR</t>
  </si>
  <si>
    <t>PVM, SPR-240E-WHT-D CAR, AR GLASS</t>
  </si>
  <si>
    <t>PVM, SPR-395E-WHT-D C, NON-AR GLASS</t>
  </si>
  <si>
    <t>Mounting Item, SPRBOS-AE-100, AMCE Clips, (100 Units / Bag)</t>
  </si>
  <si>
    <t>Mounting Item, SPRBOS-AE-1K, AMCE Clips, (1000 units / Box)</t>
  </si>
  <si>
    <t>Mounting Item, SPRBOS-UC-25, Ground Lug Kit, (25 units / Box)</t>
  </si>
  <si>
    <t>Mounting Item, SPRBOS-UC-100, Ground Lug Kit (100 units / Box)</t>
  </si>
  <si>
    <t>Mounting Item, Label, System Inverter Rating, (100 units/ Roll)</t>
  </si>
  <si>
    <t>Mounting Item, Label, Laminate, System Inverter Rating (SOL-SRS-127508N-.5-4), (100 units / Roll)</t>
  </si>
  <si>
    <t>Mounting Item, Label, Solar Disconnect Label, (100 units / Roll)</t>
  </si>
  <si>
    <t>Mounting Item, Label, Photovoltaic Disconnect For Utility Operation (100 units / Roll)</t>
  </si>
  <si>
    <t>Mounting Item, Label, PV System Breaker is Backfed (100 units / Roll)</t>
  </si>
  <si>
    <t>Mounting Item, Label, Laminate, PV System Breaker is Backfed label (PPF-63166-5) (100 units / Roll)</t>
  </si>
  <si>
    <t>"Mounting Item, Label, WARNING: INVERTER OUTPUT CONNECTION (100 units / Roll)</t>
  </si>
  <si>
    <t>Mounting Kit, SPR-LBL-7ROLL</t>
  </si>
  <si>
    <t>PVM, SPR-310-WHT-D CAR-A, AR GLASS</t>
  </si>
  <si>
    <t>PVM, SPR-315E-WHT-D CAR-A , AR GLASS</t>
  </si>
  <si>
    <t>PVM, SPR-305E-WHT-D CAR-A (AGC Glass)</t>
  </si>
  <si>
    <t>PVM, SPR-295-WHT-D CAR-A , AR GLASS</t>
  </si>
  <si>
    <t>ASSY, SUPPORT, MAIN, UNIVERSAL, T10 METRIC, RIBBED (1508-589)</t>
  </si>
  <si>
    <t>KIT, CONSUMPTION MONITORING, US, WITH INTERFACE (1508-940)</t>
  </si>
  <si>
    <t>KIT, CONSUMPTION MONITORING, US, NO INTERFACE (1508-941)</t>
  </si>
  <si>
    <t>KIT, CONSUMPTION MONITORING, EU (3-CT), WITH INTERFACE (1508-942)</t>
  </si>
  <si>
    <t>SUB, PVM, FR, SER-220P, 220W, MP2, UL, MC3 (1509-020-05)</t>
  </si>
  <si>
    <t>SUB, PVM, FR, SER-220P, 220W, MP3, UL, MC3 (1509-020-05)</t>
  </si>
  <si>
    <t>SUB, PVM, FR, SER-220P, 220W, QP2, UL, MC3 (1509-020-05)</t>
  </si>
  <si>
    <t>SUB, PVM, FR, SER-220P, 220W, QP3, UL, MC3 (1509-020-05)</t>
  </si>
  <si>
    <t>SUB, PVM, FR, SER-220P, 220W, MP2, UL, MC4 (1509-020-06)</t>
  </si>
  <si>
    <t>SUB, PVM, FR, SER-220P, 220W, MP3, UL, MC4 (1509-020-06)</t>
  </si>
  <si>
    <t>SUB, PVM, FR, SER-220P, 220W, QP2, UL, MC4 (1509-020-06)</t>
  </si>
  <si>
    <t>SUB, PVM, FR, SER-220P, 220W, QP3, UL, MC4 (1509-020-06)</t>
  </si>
  <si>
    <t>SUB, PVM, FR, SER-228P, 228W, MP2, UL, MC3 (1509-020-07)</t>
  </si>
  <si>
    <t>SUB, PVM, FR, SER-228P, 228W, MP3, UL, MC3 (1509-020-07)</t>
  </si>
  <si>
    <t>SUB, PVM, FR, SER-228P, 228W, QP2, UL, MC3 (1509-020-07)</t>
  </si>
  <si>
    <t>SUB, PVM, FR, SER-228P, 228W, QP3, UL, MC3 (1509-020-07)</t>
  </si>
  <si>
    <t>SUB, PVM, FR, SER-228P, 228W, MP2, UL, MC4 (1509-020-08)</t>
  </si>
  <si>
    <t>SUB, PVM, FR, SER-228P, 228W, MP3, UL, MC4 (1509-020-08)</t>
  </si>
  <si>
    <t>SUB, PVM, FR, SER-228P, 228W, QP2, UL, MC4 (1509-020-08)</t>
  </si>
  <si>
    <t>SUB, PVM, FR, SER-228P, 228W, QP3, UL, MC4 (1509-020-08)</t>
  </si>
  <si>
    <t>INVERTER, SUNWAY TG 35, 800V MOD SUNPOWER, DE (1509-088)</t>
  </si>
  <si>
    <t>PVM, FR, SER-220P, UL, w/MC3, SILVER FRAME (1509-020-05)</t>
  </si>
  <si>
    <t>PVM, FR, SER-220P, UL, w/MC4, SILVER FRAME (1509-020-06)</t>
  </si>
  <si>
    <t>PVM, FR, SER-228P, UL, w/MC3, SILVER FRAME (1509-020-07)</t>
  </si>
  <si>
    <t>PVM, FR, SER-228P, UL, w/MC4, SILVER FRAME (1509-020-08)</t>
  </si>
  <si>
    <t>PVM, FR, SER-220P, IEC, w/MC3, SILVER FRAME (1509-020-01)</t>
  </si>
  <si>
    <t>PVM, FR, SER-220P, IEC, w/MC4, SILVER FRAME (1509-020-02)</t>
  </si>
  <si>
    <t>PVM, FR, SER-228P, IEC, w/MC3, SILVER FRAME (1509-020-03)</t>
  </si>
  <si>
    <t>PVM, FR, SER-228P, IEC, w/MC4, SILVER FRAME (1509-020-04)</t>
  </si>
  <si>
    <t>CABINET, MAIN SWITCH, METER &amp; CT, 200A, 13-JAW, AMERICAN MIDWEST POWER (1509-008)</t>
  </si>
  <si>
    <t>CABINET, MAIN SWITCH, METER &amp; CT, 400A, 13-JAW, AMERICAN MIDWEST POWER (1509-009)</t>
  </si>
  <si>
    <t>CABINET, MAIN SWITCH, METER &amp; CT, 600A, 13-JAW, AMERICAN MIDWEST POWER (1509-010)</t>
  </si>
  <si>
    <t>CABINET, MAIN SWITCH, METER &amp; CT, 800A, 13-JAW, AMERICAN MIDWEST POWER (1509-011)</t>
  </si>
  <si>
    <t>PVM, SPR-300-WHT-I NC</t>
  </si>
  <si>
    <t>COMBINER BOX, 600V, POS GND, AMTEC, 12 STR, NO-DISC, UL (1509-053)</t>
  </si>
  <si>
    <t>KIT, RETROFIT, 100kohm RESISTIVE GROUNDING, FOR SPRf INVERTERS IN FRANCE, PACK OF 10 PCS</t>
  </si>
  <si>
    <t>HOSE, EPDM, SEMPERIT PL1S, 32MM ID, 45MM OD, BLACK</t>
  </si>
  <si>
    <t>Monitoring System, SMA, Sunny Webbox, GSM, SMA COM=2, AUX COM=5, Mem card=0, Language Spanish</t>
  </si>
  <si>
    <t>TRANSFORMER, CURRENT, SPLIT CORE, 0.333V, 30A, 0.75" ID, CONTINENTAL CONTROL SYSTEMS CTS-0750-030</t>
  </si>
  <si>
    <t>TRANSFORMER, CURRENT, SPLIT CORE, 0.333V, 50A, 0.75" ID, CONTINENTAL CONTROL SYSTEMS CTS-0750-050</t>
  </si>
  <si>
    <t>TRANSFORMER, CURRENT, SPLIT CORE, 0.333V, 60A, 0.75" ID, CONTINENTAL CONTROL SYSTEMS CTS-0750-060</t>
  </si>
  <si>
    <t>INVERTER, SPR-3501F-1-EU</t>
  </si>
  <si>
    <t>INVERTER, SPR-4001F-1-EU</t>
  </si>
  <si>
    <t>INVERTER, SPR-6501F-2-EU</t>
  </si>
  <si>
    <t>INVERTER, SPR-8001F-2-EU</t>
  </si>
  <si>
    <t>INVERTER, SPR-10001F-3-EU</t>
  </si>
  <si>
    <t>INVERTER, SPR-12001F-3-EU</t>
  </si>
  <si>
    <t>PACKAGING, CONSUMPTION MONITORING, SMS</t>
  </si>
  <si>
    <t>KIT, CONSUMPTION MONITORING, EU, 1 CT, WITH INTERFACE</t>
  </si>
  <si>
    <t>ADHESIVE, SEALANT, HIGH-GRADE POLYURATHANE, GRAY, RAINBUSTER 850</t>
  </si>
  <si>
    <t>TOOL, ASSEMBLY, CABLE COUPLER, MC3, PV-RWZ3</t>
  </si>
  <si>
    <t>MONITORING KIT, MON-SPRnd-1, SPRu INVERTER KIT 1, V1.2</t>
  </si>
  <si>
    <t>MONITORING KIT, MON-SPRnd-2, SPRu INVERTER KIT 2, V1.2</t>
  </si>
  <si>
    <t>MONITORING KIT, MON-SPRnd-3, SPRu INVERTER KIT 3, V1.2</t>
  </si>
  <si>
    <t>TUBING, SQUARE, 4 X 4 X 6GA (5MM), 38 LONG</t>
  </si>
  <si>
    <t>INSERT, TORQUE TUBE, TRACKER, 6GA WALL</t>
  </si>
  <si>
    <t>BUSHING, 3/8"ID, 5/8"OD, 7/16"H, SS (1508-951)</t>
  </si>
  <si>
    <t>BRACKET, ANCHOR, T5 (1508-750)</t>
  </si>
  <si>
    <t>WASHER, FENDER, 3/8"ID, 1.25"OD, SS (1508-957)</t>
  </si>
  <si>
    <t>WASHER, FENDER, OVERSIZED, 5/8"ID, 2"OD, 0.125"THICK, SS (1508-956)</t>
  </si>
  <si>
    <t>WASHER, BELLEVILLE, 5/8"ID, 1.25"OD, SS (1508-952)</t>
  </si>
  <si>
    <t>LABEL, EXTERNAL BOX, CONSUMPTION MONITORING, US, WITH WATTNODE INTERFACE</t>
  </si>
  <si>
    <t>LABEL, EXTERNAL BOX, CONSUMPTION MONITORING, EU, 3-CT, WITH WATTNODE INTERFACE</t>
  </si>
  <si>
    <t>LABEL, EXTERNAL BOX, CONSUMPTION MONITORING, EU, 1-CT, WITH WATTNODE INTERFACE</t>
  </si>
  <si>
    <t>BRACKET, RECOMBINER BOX, T20 V2.3 (WILL BE OBSOLETE)</t>
  </si>
  <si>
    <t>ASSY, 460V GEARMOTOR, 15 TON ACTUATOR, GEAR BELOW SCREW</t>
  </si>
  <si>
    <t>DEFLECTOR, NORTH, SERENGETI, T10 (1509-037)</t>
  </si>
  <si>
    <t>DEFLECTOR, WEST, SERENGETI, T10 (1509-039)</t>
  </si>
  <si>
    <t>DEFLECTOR, EAST, SERENGETI, T10 (1509-040)</t>
  </si>
  <si>
    <t>BAR, SPREADER, 2-COLUMN, SERENGETI, T10 (1509-151)</t>
  </si>
  <si>
    <t>BAR, SPREADER, 3-COLUMN, SERENGETI, T10 (1509-152)</t>
  </si>
  <si>
    <t>BAR, SPREADER, 4-COLUMN, SERENGETI, T10 (1509-153)</t>
  </si>
  <si>
    <t>WIRE ROPE, INTERCONNECT, STANDARD, SERENGETI, T10 (1509-038)</t>
  </si>
  <si>
    <t xml:space="preserve">WIRE ROPE, INTERCONNECT, NORTH, SERENGETI, T10 (1509-041)				</t>
  </si>
  <si>
    <t>OPC SERVER, SMA, TEN083510, V1.0 (1509-013)</t>
  </si>
  <si>
    <t>Planning BOM Header - Powertilt US, SER, T-10, 1MW (Metric)</t>
  </si>
  <si>
    <t>Planning BOM Header - Powertilt EU, SER, T-10, 1MW (Metric)</t>
  </si>
  <si>
    <t>WELDMENT, DRIVE PIVOT, CHAMFERED ENDS</t>
  </si>
  <si>
    <t>INVERTER ACCESSORY, FUSE KIT, FUSIBILE 160 A NH1s GR 900 VDC</t>
  </si>
  <si>
    <t>INVERTER ACCESSORY, CONNECTOR, KNIFE COPPER, COLTELLO 900 V</t>
  </si>
  <si>
    <t>INVERTER ACCESSORY, TRANSFORMER, THREE PHASE, TRAFO BT/BT 270/400, 240 KW</t>
  </si>
  <si>
    <t>PIN, SHORT PIVOT, 17-4PH SS, T20 V2.3</t>
  </si>
  <si>
    <t>PVM, SPR-300E-BLK-D</t>
  </si>
  <si>
    <t>CLIP, SAFETY LOCK, MC3, STG.CS.3B</t>
  </si>
  <si>
    <t>TOOL, UNLOCKING, MC4, PV MS</t>
  </si>
  <si>
    <t>TUBING, SQUARE, 4 X 4 X 6GA (5MM), 19 LONG</t>
  </si>
  <si>
    <t>PVM, SPR-290-WHT-I NC1</t>
  </si>
  <si>
    <t>PVM, SPR-290-WHT-I NC</t>
  </si>
  <si>
    <t>PVM, SPR-290-WHT-I N</t>
  </si>
  <si>
    <t>INVERTER, SANTERNO, SUNWAY M PLUS 2600E, POS GND, ITALY</t>
  </si>
  <si>
    <t>INVERTER, SANTERNO, SUNWAY M PLUS 3600E, POS GND, ITALY</t>
  </si>
  <si>
    <t>INVERTER, SANTERNO, SUNWAY M PLUS 4300E, POS GND, ITALY</t>
  </si>
  <si>
    <t>INVERTER, SANTERNO, SUNWAY M PLUS 5300, POS GND, ITALY</t>
  </si>
  <si>
    <t>INVERTER, SANTERNO, SUNWAY M PLUS 6400, POS GND, ITALY</t>
  </si>
  <si>
    <t>INVERTER, SANTERNO, SUNWAY M PLUS 7800, POS GND, ITALY</t>
  </si>
  <si>
    <t>STRING MONITORING BOX, SMA, SSM 48 INPUTS, 24 FUSES, 16A, MC3, W/DC SWITCH</t>
  </si>
  <si>
    <t>PVM, SPR-318E-WHT-D AR</t>
  </si>
  <si>
    <t>PVM, SPR-76RE-BLK-U</t>
  </si>
  <si>
    <t>PVM, SPR-305E-WHT-D</t>
  </si>
  <si>
    <t>PVM, SPR-300E-WHT-D</t>
  </si>
  <si>
    <t>PVM, SPR-230E-WHT-D</t>
  </si>
  <si>
    <t>PVM, SPR-225E-BLK-D</t>
  </si>
  <si>
    <t>PVM, UNFR, SRC-56EL-BLK-I</t>
  </si>
  <si>
    <t>PVM, UNFR, SRC-52EL-BLK-I</t>
  </si>
  <si>
    <t>PVM, SPR-315E-WHT-D AR</t>
  </si>
  <si>
    <t>PVM, UNFR, SPR-318EL-WHT-D CAR</t>
  </si>
  <si>
    <t>PVM, UNFR, SPR-315EL-WHT-D CAR</t>
  </si>
  <si>
    <t>INVERTER, SMA, SC 500 SE-11 10004231002, 500KW, 270V, POS GND, LANGUAGE SPANISH</t>
  </si>
  <si>
    <t>INVERTER, SMA, SC 500 SE-11 13004231002, 500KW, 270V, POS GND, LANGUAGE SPANISH</t>
  </si>
  <si>
    <t>STRING MONITORING BOX, SMA, SSM 20322, 32 INPUTS, 16 FUSES, 16A, TYCO, LANGUAGE SPANISH</t>
  </si>
  <si>
    <t>STRING MONITORING BOX, SMA 21322, SSM, 32 INPUTS, 16 FUSES, 16A, TYCO, W/DC SWITCH, LANGUAGE SPANISH</t>
  </si>
  <si>
    <t>COMMUNICATION BOX, SMA, 0510102, 8-PORT ETHERNET, W/SUNNY SENSORBOX, LANGUAGE SPANISH</t>
  </si>
  <si>
    <t>INVERTER, SATCON, PVS, 1000 kW Prism 1, 265VAC, MVT EXTRA, 3-PH; POS GND; 5-YR WARRANTY; ARRA; 30-string/100A internal combiner with PV Zone current transducer option &amp; communications gateway card (PVS-1000-4UL-P-A-CZ30)</t>
  </si>
  <si>
    <t>INVERTER, SATCON, PVS, 30 kW 208VAC 3-PH; NEG GND; 5-YR WARRANTY (PVS-30-2UL-N)</t>
  </si>
  <si>
    <t>INVERTER, SATCON, PVS, 50 kW 208VAC 3-PH; NEG GND; 5-YR WARRANTY (PVS-50-2UL-N)</t>
  </si>
  <si>
    <t>INVERTER, SATCON, PVS, 75 kW 208VAC 3-PH; NEG GND; 5-YR WARRANTY (PVS-75-2UL-N)</t>
  </si>
  <si>
    <t>INVERTER, SATCON, PVS, 100 kW 208VAC 3-PH; NEG GND; 5-YR WARRANTY (PVS-100-2UL-N)</t>
  </si>
  <si>
    <t>INVERTER, SATCON, PVS, 135 kW 208VAC 3-PH; NEG GND; 5-YR WARRANTY (PVS-135-2UL-N)</t>
  </si>
  <si>
    <t>INVERTER, SATCON, PVS, 250 kW 208VAC 3-PH; NEG GND; 5-YR WARRANTY (PVS-250-2UL-N)</t>
  </si>
  <si>
    <t>INVERTER, SATCON, PVS, 375 kW 480VAC 3-PH; NEG GND; 5-YR WARRANTY (PVS-375-4UL-N)</t>
  </si>
  <si>
    <t>INVERTER, SATCON, PVS, 1000 kW Prism 1 265VAC, MVT EXTRA, 3-PH; NEG GND; 5-YR WARRANTY (PVS-1000-4UL-N)</t>
  </si>
  <si>
    <t>INVERTER, SATCON, PVS, 30 kW 208VAC 3-PH; NEG GND; 5-YR WARRANTY, ARRA (PVS-30-2UL-N-A)</t>
  </si>
  <si>
    <t>INVERTER, SATCON, PVS, 30 kW 480VAC 3-PH; NEG GND; 5-YR WARRANTY, ARRA (PVS-30-4UL-N-A)</t>
  </si>
  <si>
    <t>INVERTER, SATCON, PVS, 50 kW 208VAC 3-PH; NEG GND; 5-YR WARRANTY, ARRA (PVS-50-2UL-N-A)</t>
  </si>
  <si>
    <t>INVERTER, SATCON, PVS, 50 kW 480VAC 3-PH; NEG GND; 5-YR WARRANTY ARRA (PVS-50-4UL-N-A)</t>
  </si>
  <si>
    <t>INVERTER, SATCON, PVS, 75 kW 208VAC 3-PH; NEG GND; 5-YR WARRANTY, ARRA (PVS-75-2UL-N-A)</t>
  </si>
  <si>
    <t>INVERTER, SATCON, PVS, 75 kW 480VAC 3-PH; NEG GND; 5-YR WARRANTY, ARRA (PVS-75-4UL-N-A)</t>
  </si>
  <si>
    <t>INVERTER, SATCON, PVS, 100 kW 208VAC 3-PH; NEG GND; 5-YR WARRANTY, ARRA (PVS-100-2UL-N-A)</t>
  </si>
  <si>
    <t>INVERTER, SATCON, PVS, 100 kW 480VAC 3-PH; NEG GND; 5-YR WARRANTY, ARRA (PVS-100-4UL-N-A)</t>
  </si>
  <si>
    <t>INVERTER, SATCON, PVS, 135 kW 208VAC 3-PH; NEG GND; 5-YR WARRANTY, ARRA (PVS-135-2UL-N-A)</t>
  </si>
  <si>
    <t>INVERTER, SATCON, PVS, 135 kW 480VAC 3-PH; NEG GND; 5-YR WARRANTY, ARRA (PVS-135-4UL-N-A)</t>
  </si>
  <si>
    <t>INVERTER, SATCON, PVS, 250 kW 208VAC 3-PH; NEG GND; 5-YR WARRANTY, ARRA (PVS-250-2UL-N-A)</t>
  </si>
  <si>
    <t>INVERTER, SATCON, PVS, 250 kW 480VAC 3-PH; NEG GND; 5-YR WARRANTY, ARRA (PVS-250-4UL-N-A)</t>
  </si>
  <si>
    <t>INVERTER, SATCON, PVS, 375 kW 480VAC 3-PH; NEG GND; 5-YR WARRANTY, ARRA (PVS-375-4UL-N-A)</t>
  </si>
  <si>
    <t>INVERTER, SATCON, PVS, 500 kW 480VAC 3-PH; NEG GND; 5-YR WARRANTY, ARRA (PVS-500-4UL-N-A)</t>
  </si>
  <si>
    <t>INVERTER, SATCON, PVS, 1000 kW Prism 1 265VAC, MVT EXTRA, 3-PH; NEG GND; 5-YR WARRANTY, ARRA (PVS-1000-4UL-N-A)</t>
  </si>
  <si>
    <t>INVERTER, SATCON, PVS, 75 kW 208VAC 3-PH; NEG GND; 5-YR WARRANTY; 5-string/100A internal combiner with PV Zone current transducer option &amp; communications gateway card (PVS-75-2UL-N-CZ5)</t>
  </si>
  <si>
    <t>INVERTER, SATCON, PVS, 75 kW 480VAC 3-PH; NEG GND; 5-YR WARRANTY; 5-string/100A internal combiner with PV Zone current transducer option &amp; communications gateway card (PVS-75-4UL-N-CZ5)</t>
  </si>
  <si>
    <t>INVERTER, SATCON, PVS, 100 kW 208VAC 3-PH; NEG GND; 5-YR WARRANTY; 6-string/100A internal combiner with PV Zone current transducer option &amp; communications gateway card (PVS-100-2UL-N-CZ6)</t>
  </si>
  <si>
    <t>INVERTER, SATCON, PVS, 100 kW 480VAC 3-PH; NEG GND; 5-YR WARRANTY; 6-string/100A internal combiner with PV Zone current transducer option &amp; communications gateway card (PVS-100-4UL-N-CZ6)</t>
  </si>
  <si>
    <t>INVERTER, SATCON, PVS, 135 kW 208VAC 3-PH; NEG GND; 5-YR WARRANTY; 9-string/100A internal combiner with PV Zone current transducer option &amp; communications gateway card (PVS-135-2UL-N-CZ9)</t>
  </si>
  <si>
    <t>INVERTER, SATCON, PVS, 135 kW 480VAC 3-PH; NEG GND; 5-YR WARRANTY; 9-string/100A internal combiner with PV Zone current transducer option &amp; communications gateway card (PVS-135-4UL-N-CZ9)</t>
  </si>
  <si>
    <t>INVERTER, SATCON, PVS, 250 kW 208VAC 3-PH; NEG GND; 5-YR WARRANTY; 15-string/100A internal combiner with PV Zone current transducer option &amp; communications gateway card (PVS-250-2UL-N-CZ15)</t>
  </si>
  <si>
    <t>INVERTER, SATCON, PVS, 250 kW 480VAC 3-PH; NEG GND; 5-YR WARRANTY; 15-string/100A internal combiner with PV Zone current transducer option &amp; communications gateway card (PVS-250-4UL-N-CZ15)</t>
  </si>
  <si>
    <t>INVERTER, SATCON, PVS, 375 kW 480VAC 3-PH; NEG GND; 5-YR WARRANTY; 24-string/100A internal combiner with PV Zone current transducer option &amp; communications gateway card (PVS-375-4UL-N-CZ24)</t>
  </si>
  <si>
    <t>INVERTER, SATCON, PVS, 500 kW 480VAC 3-PH; NEG GND; 5-YR WARRANTY; 30-string/100A internal combiner with PV Zone current transducer option &amp; communications gateway card (PVS-500-4UL-N-CZ30)</t>
  </si>
  <si>
    <t>INVERTER, SATCON, PVS, 1000 kW Prism 1 265VAC, MVT EXTRA, 3-PH; NEG GND; 5-YR WARRANTY; 30-string/100A internal combiner with PV Zone current transducer option &amp; communications gateway card (PVS-1000-4UL-N-CZ30)</t>
  </si>
  <si>
    <t>INVERTER, SATCON, PVS, 75 kW 208VAC 3-PH; NEG GND; 5-YR WARRANTY; ARRA; 5-string/100A internal combiner with PV Zone current transducer option &amp; communications gateway card (PVS-75-2UL-N-A-CZ5)</t>
  </si>
  <si>
    <t>INVERTER, SATCON, PVS, 75 kW 480VAC 3-PH; NEG GND; 5-YR WARRANTY; ARRA; 5-string/100A internal combiner with PV Zone current transducer option &amp; communications gateway card (PVS-75-4UL-N-A-CZ5)</t>
  </si>
  <si>
    <t>INVERTER, SATCON, PVS, 100 kW 208VAC 3-PH; NEG GND; 5-YR WARRANTY; ARRA; 6-string/100A internal combiner with PV Zone current transducer option &amp; communications gateway card (PVS-100-2UL-N-A-CZ6)</t>
  </si>
  <si>
    <t>INVERTER, SATCON, PVS, 100 kW 480VAC 3-PH; NEG GND; 5-YR WARRANTY; ARRA; 6-string/100A internal combiner with PV Zone current transducer option &amp; communications gateway card (PVS-100-4UL-N-A-CZ6)</t>
  </si>
  <si>
    <t>INVERTER, SATCON, PVS, 375 kW 480VAC 3-PH; NEG GND; 5-YR WARRANTY; ARRA; 24-string/100A internal combiner with PV Zone current transducer option &amp; communications gateway card (PVS-375-4UL-N-A-CZ24)</t>
  </si>
  <si>
    <t>INVERTER, SATCON,PVS, 500 kW 480VAC 3-PH; NEG GND; 5-YR WARRANTY; ARRA; 30-string/100A internal combiner with PV Zone current transducer option &amp; communications gateway card (PVS-500-4UL-N-A-CZ30)</t>
  </si>
  <si>
    <t>INVERTER, SATCON, PVS, 1000 kW Prism 1, 265VAC, MVT EXTRA, 3-PH; NEG GND; 5-YR WARRANTY; ARRA; 30-string/100A internal combiner with PV Zone current transducer option &amp; communications gateway card (PVS-1000-4UL-N-A-CZ30)</t>
  </si>
  <si>
    <t>WARRANTY, 10-YR, SATCON PVS-30 INVERTER (5-year extension) (W10-PVS-30) (001-60668)</t>
  </si>
  <si>
    <t>WARRANTY, 10-YR, SATCON PVS-50 INVERTER (5-year extension) (W10-PVS-50) (001-60668)</t>
  </si>
  <si>
    <t>WARRANTY, 10-YR, SATCON PVS-75 INVERTER (5-year extension) (W10-PVS-75) (001-60668)</t>
  </si>
  <si>
    <t>WARRANTY, 10-YR, SATCON PVS-100 INVERTER (5-year extension) (W10-PVS-100) (001-60668)</t>
  </si>
  <si>
    <t>WARRANTY, 10-YR, SATCON PVS-1000-MVP-1 INVERTER (5-year extension) (W10-PVS-1000) (001-60668)</t>
  </si>
  <si>
    <t>WARRANTY, 10-YR, SATCON PVS-250-208/240VAC INVERTER (5-year extension) (W10-PVS-250-208/240VAC) (001-60668)</t>
  </si>
  <si>
    <t>WARRANTY, 10-YR, SATCON PVS-250-480VAC INVERTER (5-year extension) (W10-PVS-250-480VAC) (001-60668)</t>
  </si>
  <si>
    <t>WARRANTY, 10-YR, SATCON PVS-375 INVERTER (5-year extension) (W10-PVS-375) (001-60668)</t>
  </si>
  <si>
    <t>WARRANTY, 10-YR, SATCON PVS-500-480VAC INVERTER (5-year extension) (W10-PVS-500) (001-60668)</t>
  </si>
  <si>
    <t>(DUP-Do Not Use) WARRANTY, 10-YR, SATCON PVS-1000-MVP-1 INVERTER (5-year extension) (W10-PVS-1000) (001-60668)</t>
  </si>
  <si>
    <t>INVERTER, SATCON, PVS, 135 kW 208VAC 3-PH; NEG GND; 5-YR WARRANTY; ARRA; 9-string/100A internal combiner with PV Zone current transducer option &amp; communications gateway card (PVS-135-2UL-N-A-CZ9)</t>
  </si>
  <si>
    <t>INVERTER, SATCON, PVS, 135 kW 480VAC 3-PH; NEG GND; 5-YR WARRANTY; ARRA; 9-string/100A internal combiner with PV Zone current transducer option &amp; communications gateway card (PVS-135-4UL-N-A-CZ9)</t>
  </si>
  <si>
    <t>INVERTER, SATCON, PVS, 250 kW 208VAC 3-PH; NEG GND; 5-YR WARRANTY; ARRA; 15-string/100A internal combiner with PV Zone current transducer option &amp; communications gateway card (PVS-250-2UL-N-A-CZ15)</t>
  </si>
  <si>
    <t>INVERTER, SATCON, PVS, 250 kW 480VAC 3-PH; NEG GND; 5-YR WARRANTY; ARRA; 15-string/100A internal combiner with PV Zone current transducer option &amp; communications gateway card (PVS-250-4UL-N-A-CZ15)</t>
  </si>
  <si>
    <t>WARRANTY, 15-YR, SATCON PVS-30 INVERTER (10-year extension) (W15-PVS-30) (001-60668)</t>
  </si>
  <si>
    <t>WARRANTY, 15-YR, SATCON PVS-50 INVERTER (10-year extension) (W15-PVS-50) (001-60668)</t>
  </si>
  <si>
    <t>WARRANTY, 15-YR, SATCON PVS-75 INVERTER (10-year extension) (W15-PVS-75) (001-60668)</t>
  </si>
  <si>
    <t>WARRANTY, 15-YR, SATCON PVS-100 INVERTER (10-year extension) (W15-PVS-100) (001-60668)</t>
  </si>
  <si>
    <t>WARRANTY, 15-YR, SATCON PVS-135 INVERTER (10-year extension) (W15-PVS-135) (001-60668)</t>
  </si>
  <si>
    <t>WARRANTY, 15-YR, SATCON PVS-250-208/240VAC INVERTER (10-year extension) (W15-PVS-250-208/240VAC) (001-60668)</t>
  </si>
  <si>
    <t>WARRANTY, 15-YR, SATCON PVS-250-480VAC INVERTER (10-year extension) (W15-PVS-250-480VAC) (001-60668)</t>
  </si>
  <si>
    <t>WARRANTY, 15-YR, SATCON PVS-375 INVERTER (10-year extension) (W15-PVS-375) (001-60668)</t>
  </si>
  <si>
    <t>WARRANTY, 15-YR, SATCON PVS-500-480VAC INVERTER (10-year extension) (W15-PVS-500) (001-60668)</t>
  </si>
  <si>
    <t>WARRANTY, 15-YR, SATCON PVS-1000 INVERTER (10-year extension) (W15-PVS-1000) (001-60668)</t>
  </si>
  <si>
    <t>WARRANTY, 20-YR, SATCON PVS-30 INVERTER (15-year extension) (W20-PVS-30) (001-60668)</t>
  </si>
  <si>
    <t>WARRANTY, 20-YR, SATCON PVS-50 INVERTER (15-year extension) (W20-PVS-50) (001-60668)</t>
  </si>
  <si>
    <t>WARRANTY, 20-YR, SATCON PVS-75 INVERTER (15-year extension) (W20-PVS-75) (001-60668)</t>
  </si>
  <si>
    <t>WARRANTY, 20-YR, SATCON PVS-100 INVERTER (15-year extension) (W20-PVS-100) (001-60668)</t>
  </si>
  <si>
    <t>WARRANTY, 20-YR, SATCON PVS-135 INVERTER (15-year extension) (W20-PVS-135) (001-60668)</t>
  </si>
  <si>
    <t>WARRANTY, 20-YR, SATCON PVS-250-208/240VAC INVERTER (15-year extension) (W20-PVS-250-208/240VAC) (001-60668)</t>
  </si>
  <si>
    <t>WARRANTY, 20-YR, SATCON PVS-250-480VAC INVERTER (15-year extension) (W20-PVS-250-480VAC) (001-60668)</t>
  </si>
  <si>
    <t>WARRANTY, 20-YR, SATCON PVS-375 INVERTER (15-year extension) (W20-PVS-375) (001-60668)</t>
  </si>
  <si>
    <t>WARRANTY, 20-YR, SATCON PVS-500-480VAC INVERTER (15-year extension) (W20-PVS-500) (001-60668)</t>
  </si>
  <si>
    <t>WARRANTY, 20-YR, SATCON PVS-1000 INVERTER (15-year extension) (W20-PVS-1000) (001-60668)</t>
  </si>
  <si>
    <t>INVERTER, SATCON, PVS, 30 kW 208VAC 3-PH; POS GND; 5-YR WARRANTY (PVS-30-2UL-P)</t>
  </si>
  <si>
    <t>INVERTER, SATCON, PVS, 50 kW 208VAC 3-PH; POS GND; 5-YR WARRANTY (PVS-50-2UL-P)</t>
  </si>
  <si>
    <t>INVERTER, SATCON, PVS, 75 kW 208VAC 3-PH; POS GND; 5-YR WARRANTY (PVS-75-2UL-P)</t>
  </si>
  <si>
    <t>INVERTER, SATCON, PVS, 100 kW 208VAC 3-PH; POS GND; 5-YR WARRANTY (PVS-100-2UL-P)</t>
  </si>
  <si>
    <t>INVERTER, SATCON, PVS, 135 kW 208VAC 3-PH; POS GND; 5-YR WARRANTY (PVS-135-2UL-P)</t>
  </si>
  <si>
    <t>INVERTER, SATCON, PVS, 250 kW 208VAC 3-PH; POS GND; 5-YR WARRANTY (PVS-250-2UL-P)</t>
  </si>
  <si>
    <t>INVERTER, SATCON, PVS, 375 kW 480VAC 3-PH; POS GND; 5-YR WARRANTY (PVS-375-4UL-P)</t>
  </si>
  <si>
    <t>INVERTER, SATCON, PVS, 1000 kW Prism 1, 265 VAC, MVT EXTRA,  3-PH; POS GND; 5-YR WARRANTY (PVS-1000-4UL-P)</t>
  </si>
  <si>
    <t>INVERTER, SATCON, PVS, 30 kW 208VAC 3-PH; POS GND; 5-YR WARRANTY, ARRA (PVS-30-2UL-P-A)</t>
  </si>
  <si>
    <t>INVERTER, SATCON, PVS, 30 kW 480VAC 3-PH; POS GND; 5-YR WARRANTY, ARRA (PVS-30-4UL-P-A)</t>
  </si>
  <si>
    <t>INVERTER, SATCON, PVS, 50 kW 208VAC 3-PH; POS GND; 5-YR WARRANTY, ARRA (PVS-50-2UL-P-A)</t>
  </si>
  <si>
    <t>INVERTER, SATCON, PVS, 50 kW 480VAC 3-PH; POS GND; 5-YR WARRANTY ARRA (PVS-50-4UL-P-A)</t>
  </si>
  <si>
    <t>INVERTER, SATCON, PVS, 75 kW 208VAC 3-PH; POS GND; 5-YR WARRANTY, ARRA (PVS-75-2UL-P-A)</t>
  </si>
  <si>
    <t>INVERTER, SATCON, PVS, 75 kW 480VAC 3-PH; POS GND; 5-YR WARRANTY, ARRA (PVS-75-4UL-P-A)</t>
  </si>
  <si>
    <t>INVERTER, SATCON, PVS, 100 kW 208VAC 3-PH; POS GND; 5-YR WARRANTY, ARRA (PVS-100-2UL-P-A)</t>
  </si>
  <si>
    <t>INVERTER, SATCON, PVS, 100 kW 480VAC 3-PH; POS GND; 5-YR WARRANTY, ARRA (PVS-100-4UL-P-A)</t>
  </si>
  <si>
    <t>INVERTER, SATCON, PVS, 135 kW 208VAC 3-PH; POS GND; 5-YR WARRANTY, ARRA (PVS-135-2UL-P-A)</t>
  </si>
  <si>
    <t>INVERTER, SATCON, PVS, 135 kW 480VAC 3-PH; POS GND; 5-YR WARRANTY, ARRA (PVS-135-4UL-P-A)</t>
  </si>
  <si>
    <t>INVERTER, SATCON, PVS, 250 kW 208VAC 3-PH; POS GND; 5-YR WARRANTY, ARRA (PVS-250-2UL-P-A)</t>
  </si>
  <si>
    <t>INVERTER, SATCON, PVS, 250 kW 480VAC 3-PH; POS GND; 5-YR WARRANTY, ARRA (PVS-250-4UL-P-A)</t>
  </si>
  <si>
    <t>INVERTER, SATCON, PVS, 375 kW 480VAC 3-PH; POS GND; 5-YR WARRANTY, ARRA (PVS-375-4UL-P-A)</t>
  </si>
  <si>
    <t>INVERTER, SATCON, PVS, 75 kW 208VAC 3-PH; POS GND; 5-YR WARRANTY; 5-string/100A internal combiner with PV Zone current transducer option &amp; communications gateway card (PVS-75-2UL-P-CZ5)</t>
  </si>
  <si>
    <t>INVERTER, SATCON, PVS, 75 kW 480VAC 3-PH; POS GND; 5-YR WARRANTY; 5-string/100A internal combiner with PV Zone current transducer option &amp; communications gateway card (PVS-75-4UL-P-CZ5)</t>
  </si>
  <si>
    <t>INVERTER, SATCON, PVS, 100 kW 208VAC 3-PH; POS GND; 5-YR WARRANTY; 6-string/100A internal combiner with PV Zone current transducer option &amp; communications gateway card (PVS-100-2UL-P-CZ6)</t>
  </si>
  <si>
    <t>INVERTER, SATCON, PVS, 100 kW 480VAC 3-PH; POS GND; 5-YR WARRANTY; 6-string/100A internal combiner with PV Zone current transducer option &amp; communications gateway card (PVS-100-4UL-P-CZ6)</t>
  </si>
  <si>
    <t>INVERTER, SATCON, PVS, 135 kW 208VAC 3-PH; POS GND; 5-YR WARRANTY; 9-string/100A internal combiner with PV Zone current transducer option &amp; communications gateway card (PVS-135-2UL-P-CZ9)</t>
  </si>
  <si>
    <t>INVERTER, SATCON, PVS, 135 kW 480VAC 3-PH; POS GND; 5-YR WARRANTY; 9-string/100A internal combiner with PV Zone current transducer option &amp; communications gateway card (PVS-135-4UL-P-CZ9)</t>
  </si>
  <si>
    <t>INVERTER, SATCON, PVS, 250 kW 208VAC 3-PH; POS GND; 5-YR WARRANTY; 15-string/100A internal combiner with PV Zone current transducer option &amp; communications gateway card (PVS-250-2UL-P-CZ15)</t>
  </si>
  <si>
    <t>INVERTER, SATCON, PVS, 250 kW 480VAC 3-PH; POS GND; 5-YR WARRANTY; 15-string/100A internal combiner with PV Zone current transducer option &amp; communications gateway card (PVS-250-4UL-P-CZ15)</t>
  </si>
  <si>
    <t>INVERTER, SATCON, PVS, 375 kW 480VAC 3-PH; POS GND; 5-YR WARRANTY; 24-string/100A internal combiner with PV Zone current transducer option &amp; communications gateway card (PVS-375-4UL-P-CZ24)</t>
  </si>
  <si>
    <t>INVERTER, SATCON, PVS, 500 kW 480VAC 3-PH; POS GND; 5-YR WARRANTY; 30-string/100A internal combiner with PV Zone current transducer option &amp; communications gateway card (PVS-500-4UL-P-CZ30)</t>
  </si>
  <si>
    <t>INVERTER, SATCON, PVS, 1000 kW Prism 1, 265VAC, MVT EXTRA, 3-PH; POS GND; 5-YR WARRANTY; 30-string/100A internal combiner with PV Zone current transducer option &amp; communications gateway card (PVS-1000-4UL-P-CZ30)</t>
  </si>
  <si>
    <t>INVERTER, SATCON, PVS, 75 kW 208VAC 3-PH; POS GND; 5-YR WARRANTY; ARRA; 5-string/100A internal combiner with PV Zone current transducer option &amp; communications gateway card (PVS-75-2UL-P-A-CZ5)</t>
  </si>
  <si>
    <t>INVERTER, SATCON, PVS, 500 kW 480VAC 3-PH; POS GND; 5-YR WARRANTY, ARRA (PVS-500-4UL-P-A)</t>
  </si>
  <si>
    <t>INVERTER, SATCON, PVS, 1000 kW Prism 1 265VAC, MVT EXTRA, 3-PH; POS GND; 5-YR WARRANTY, ARRA (PVS-1000-4UL-P-A)</t>
  </si>
  <si>
    <t>INVERTER, SATCON, PVS, 75 kW 480VAC 3-PH; POS GND; 5-YR WARRANTY; ARRA; 5-string/100A internal combiner with PV Zone current transducer option &amp; communications gateway card (PVS-75-4UL-P-A-CZ5)</t>
  </si>
  <si>
    <t>INVERTER, SATCON, PVS, 100 kW 208VAC 3-PH; POS GND; 5-YR WARRANTY; ARRA; 6-string/100A internal combiner with PV Zone current transducer option &amp; communications gateway card (PVS-100-2UL-P-A-CZ6)</t>
  </si>
  <si>
    <t>INVERTER, SATCON, PVS, 100 kW 480VAC 3-PH; POS GND; 5-YR WARRANTY; ARRA; 6-string/100A internal combiner with PV Zone current transducer option &amp; communications gateway card (PVS-100-4UL-P-A-CZ6)</t>
  </si>
  <si>
    <t>INVERTER, SATCON, PVS, 135 kW 208VAC 3-PH; POS GND; 5-YR WARRANTY; ARRA; 9-string/100A internal combiner with PV Zone current transducer option &amp; communications gateway card (PVS-135-2UL-P-A-CZ9)</t>
  </si>
  <si>
    <t>INVERTER, SATCON, PVS, 135 kW 480VAC 3-PH; POS GND; 5-YR WARRANTY; ARRA; 9-string/100A internal combiner with PV Zone current transducer option &amp; communications gateway card (PVS-135-4UL-P-A-CZ9)</t>
  </si>
  <si>
    <t>INVERTER, SATCON, PVS, 250 kW 208VAC 3-PH; POS GND; 5-YR WARRANTY; ARRA; 15-string/100A internal combiner with PV Zone current transducer option &amp; communications gateway card (PVS-250-2UL-P-A-CZ15)</t>
  </si>
  <si>
    <t>INVERTER, SATCON, PVS, 250 kW 480VAC 3-PH; POS GND; 5-YR WARRANTY; ARRA; 15-string/100A internal combiner with PV Zone current transducer option &amp; communications gateway card (PVS-250-4UL-P-A-CZ15)</t>
  </si>
  <si>
    <t>INVERTER, SATCON, PVS, 375 kW 480VAC 3-PH; POS GND; 5-YR WARRANTY; ARRA; 24-string/100A internal combiner with PV Zone current transducer option &amp; communications gateway card (PVS-375-4UL-P-A-CZ24)</t>
  </si>
  <si>
    <t>INVERTER, SATCON,PVS, 500 kW 480VAC 3-PH; POS GND; 5-YR WARRANTY; ARRA; 30-string/100A internal combiner with PV Zone current transducer option &amp; communications gateway card (PVS-500-4UL-P-A-CZ30)</t>
  </si>
  <si>
    <t>WEBBOX, SMA, SWEBBOX-TEN075125 (1509-014)</t>
  </si>
  <si>
    <t>PVM, 6-CELL BLK-E, SALE SAMPLE</t>
  </si>
  <si>
    <t>PVM, 6-CELL WHT-E LAMINATE, SALE SAMPLE</t>
  </si>
  <si>
    <t>PVM, Demo Module-72 Cell-E Blk</t>
  </si>
  <si>
    <t>PVM, Demo Module-72 Cell-E Wht</t>
  </si>
  <si>
    <t>PVM, Demo Module-96 Cell-E Wht</t>
  </si>
  <si>
    <t>MOUNTING ITEM, SOLARMOUNT SPR-SM-4J-CL, CLEAR</t>
  </si>
  <si>
    <t>KIT, SUNFRAME SPR-SF-4, CLEAR</t>
  </si>
  <si>
    <t>MOUNTING ITEM, SPLICE BARS SBAR-SM, CLEAR, 20 UNITS PER BOX</t>
  </si>
  <si>
    <t>MOUNTING ITEM, END CLAMPS, KIT "J" CLEAR, 20 UNITS PER BOX</t>
  </si>
  <si>
    <t>MOUNTING ITEM, MID CLAMPS MIDC, CLEAR, 20 UNITS PER BOX</t>
  </si>
  <si>
    <t>MOUNTING ITEM, L FOOTINGS LF, CLEAR, 20 UNITS PER BOX</t>
  </si>
  <si>
    <t>MOUNTING ITEM, STAND OFF, 4", STO-4, CLEAR, 12 UNITS PER BOX</t>
  </si>
  <si>
    <t>MOUNTING ITEM, STAND OFF, 7", STO-7, CLEAR, 12 UNITS PER BOX</t>
  </si>
  <si>
    <t>ASSY, CABLE, JUMPER, MC4 SKT/MC4 PIN, KRIS-TECH 10T37-RHW/USE058-BK-2000, UL, 10AWG, 5 FT</t>
  </si>
  <si>
    <t>ASSY, CABLE, JUMPER, MC4 SKT/MC4 PIN, KRIS-TECH 10T37-RHW/USE058-BK-2000, UL, 10AWG, 10 FT</t>
  </si>
  <si>
    <t>ASSY, CABLE, JUMPER, MC4 SKT/MC4 PIN, KRIS-TECH 10T37-RHW/USE058-BK-2000, UL, 10AWG, 20 FT</t>
  </si>
  <si>
    <t>INVERTER, SMA, SB 3000TL-20, 240 VAC, 50-60HZ, TRANSFORMERLESS, AU</t>
  </si>
  <si>
    <t>INVERTER, SMA, SB 4000TL-20, 240 VAC, 50-60HZ, TRANSFORMERLESS, AU</t>
  </si>
  <si>
    <t>INVERTER, SMA, SB 5000TL-20, 240 VAC, 50/60HZ, TRANSFORMERLESS, AU</t>
  </si>
  <si>
    <t>INVERTER, SMA, SB 10000TL-10, 240 VAC, 50/60HZ, TRANSFORMERLESS, AU</t>
  </si>
  <si>
    <t>TUBING, SQUARE, 4 X 4 X 11GA, 38 LONG, HOT-DIPPED GALVY</t>
  </si>
  <si>
    <t>INVERTER, SINGLE PHASE, SPR-10000f, 10KW, 208/240/277 VAC, 60HZ, POS GND, W/ COMCARD, SMS AND FUSES</t>
  </si>
  <si>
    <t>INVERTER, THREE PHASE, SPR-11400f-3-208/240, 11.4 KW, 208/240 VAC, 60HZ, POS GND, W/ COMCARD, SMS AND FUSES</t>
  </si>
  <si>
    <t>INVERTER, THREE PHASE, SPR-12000f-3-277 (WYE), 12 KW, 277 VAC, 60HZ, POS GND, W/ COMCARD, SMS AND FUSES</t>
  </si>
  <si>
    <t>INVERTER, 5 YEAR WARRANTY EXTENSION, W15-10000/11400/12000F</t>
  </si>
  <si>
    <t>PVM, SPR-315E-WHT-K</t>
  </si>
  <si>
    <t>INVERTER, FRONIUS, IG PLUS 120V-3, 60Hz, POS GND, AU, W/ 1A FUSE</t>
  </si>
  <si>
    <t>PVM, UNFR, SPR-230EL-WHT-I</t>
  </si>
  <si>
    <t>PVM, UNFR, SPR-225EL-BLK-I</t>
  </si>
  <si>
    <t>ASSY, MODULE, T5, 315EL-WHT-D CAR, C60 (1507-352-09)</t>
  </si>
  <si>
    <t>PVM, SPR-305E-WHT-D AR</t>
  </si>
  <si>
    <t>PVM, UNFR, SPR-295L-WHT-D CAR</t>
  </si>
  <si>
    <t>INVERTER, SMA, SB 1700, 5 YR WTY, AU</t>
  </si>
  <si>
    <t>INVERTER, SMA, SB 2500, 5 YR WTY, AU</t>
  </si>
  <si>
    <t>INVERTER, SMA, SB 6000A, 5 YR WTY, AU</t>
  </si>
  <si>
    <t>INVERTER, SMA, SB 3800, 5 YR WTY, AU</t>
  </si>
  <si>
    <t>INVERTER, SPR-1100M-IT-RFB</t>
  </si>
  <si>
    <t>INVERTER, SPR-3300M-IT-RFB</t>
  </si>
  <si>
    <t>INVERTER, SPR-3800M-IT-RFB</t>
  </si>
  <si>
    <t>INVERTER, SPR-5000M-IT-RFB</t>
  </si>
  <si>
    <t>INVERTER, SPR-6000M-IT-RFB</t>
  </si>
  <si>
    <t>INVERTER, SPR-7000M-IT-RFB</t>
  </si>
  <si>
    <t>INVERTER, SPR-3300M-ES-RFB</t>
  </si>
  <si>
    <t>INVERTER, SPR-3800M-ES-RFB</t>
  </si>
  <si>
    <t>INVERTER, SPR-5000M-ES-RFB</t>
  </si>
  <si>
    <t>INVERTER, SPR-6000M-ES-RFB</t>
  </si>
  <si>
    <t>INVERTER, SPR-7000M-ES-RFB</t>
  </si>
  <si>
    <t>INVERTER, SPR-3300M-FR-RFB with Comcard</t>
  </si>
  <si>
    <t>INVERTER, SPR-3800M-FR-RFB</t>
  </si>
  <si>
    <t>INVERTER, SPR-5000M-FR-RFB</t>
  </si>
  <si>
    <t>INVERTER, SPR-6000M-FR-RFB</t>
  </si>
  <si>
    <t>INVERTER, SPR-7000M-FR-RFB</t>
  </si>
  <si>
    <t>ASSY, MODULE, T5, 310EL-WHT-D C, C60 (1507-352-08)</t>
  </si>
  <si>
    <t>ASSY, MODULE, T5, 318EL-WHT-D CAR, C60 (1507-352-10)</t>
  </si>
  <si>
    <t>ASSY, MODULE, T5, 295L-WHT-D CAR, C50 (1507-352-13)</t>
  </si>
  <si>
    <t>Label, SPR-315EL-WHT-U</t>
  </si>
  <si>
    <t>PVM, UNFR, SPR-315EL-WHT-U CAR</t>
  </si>
  <si>
    <t>PVM, UNFR, SPR-318EL-WHT-U CAR</t>
  </si>
  <si>
    <t>Label, SPR-318EL-WHT-U</t>
  </si>
  <si>
    <t>INVERTER ACCESSORY, SMA, COM-B (0500102)</t>
  </si>
  <si>
    <t>INVERTER, ESANTERNO, SUNWAY M PLUS 3600, POS GND, ITALY</t>
  </si>
  <si>
    <t>INVERTER, SMA, STP 15000TL-10, 400/230 VAC, 50-60HZ TRANSFORMERLESS, DE</t>
  </si>
  <si>
    <t>INVERTER, SMA, STP 17000TL-10, 400/230 VAC, 50-60HZ TRANSFORMERLESS, DE</t>
  </si>
  <si>
    <t>INVERTER, SMA, SB 1200-IT, POS GND, W/ RS485, ITALY</t>
  </si>
  <si>
    <t>BREAKER, CIRCUIT, 3P, 2A, 480V</t>
  </si>
  <si>
    <t>ENDSTOP, TERMINAL BLOCK, DIN, 6U</t>
  </si>
  <si>
    <t>PVM, SPR-425E-WHT-D CAR</t>
  </si>
  <si>
    <t>PVM, SPR-425E-WHT-D CAR A (AGC Glass)</t>
  </si>
  <si>
    <t>PVM, SPR-415E-WHT-D C</t>
  </si>
  <si>
    <t>PVM, SPR-318E-WHT-D CAR</t>
  </si>
  <si>
    <t>PVM, SPR-318E-WHT-D CAR A (AGC Glass)</t>
  </si>
  <si>
    <t>PVM, SPR-305E-WHT-D CAR</t>
  </si>
  <si>
    <t>PVM, SPR-305EL-WHT-D CAR</t>
  </si>
  <si>
    <t>PVM, SPR-295E-WHT-D C</t>
  </si>
  <si>
    <t>PVM, SPR-295EL-WHT-D C</t>
  </si>
  <si>
    <t>PVM, UNFR, SPR-305EL-WHT-D C</t>
  </si>
  <si>
    <t>SCREW, PH, 6-32 X 5/16”, EXT. WASHER, 18-8 SS</t>
  </si>
  <si>
    <t>SCREW, PH, 10-32 X 3/8”, EXT. WASHER, 18-8 SS</t>
  </si>
  <si>
    <t>CELL, C160145, WHITE B, BIN R</t>
  </si>
  <si>
    <t>PVM, SPR-305E-WHT-I NC</t>
  </si>
  <si>
    <t>OSP MX, PVM, SPR-318E-WHT-D AR (PV. 111168)</t>
  </si>
  <si>
    <t>OSP MX, PVM, UNFR, SPR-315EL-WHT-U CAR (PV. 111511)</t>
  </si>
  <si>
    <t>OSP MX, PVM, SPR-210-BLK-U N (PV.110086)</t>
  </si>
  <si>
    <t>OSP MX, PVM, SPR-215-WHT-U N (PV. 110082)</t>
  </si>
  <si>
    <t>ASSY, MODULE, T5, 318EL-WHT-U CAR, C60 (1507-352)</t>
  </si>
  <si>
    <t>INVERTER, SC-250, 250 KW, 00062031000, DE</t>
  </si>
  <si>
    <t>VENT DRAIN, HOFFMAN, TYPE 4X, SS</t>
  </si>
  <si>
    <t>INVERTER ACCESSORY, SMA, SB-DISPLAY, W/ SBLCD PCB, EU</t>
  </si>
  <si>
    <t>INVERTER, KACO, POWADOR 2002-DE, 1.65KW, 600VAC, 50H-60HZ, POS GND, DE</t>
  </si>
  <si>
    <t>INVERTER, KACO, POWADOR 3002-DE, 2.5KW, 600VAC, 50HZ/60HZ, POS GND, DE</t>
  </si>
  <si>
    <t>INVERTER, KACO, POWADOR 4202-DE, 3.5KW, 600VAC, 50HZ/60HZ, POS GND, DE</t>
  </si>
  <si>
    <t>INVERTER, KACO, POWADOR 5002-DE, 4.2 KW, 600VAC, 50HZ/60HZ, POS GND, DE</t>
  </si>
  <si>
    <t>INVERTER, KACO, POWADOR 6002-DE, 5 KW, 600VAC, 50HZ/60HZ, POS GND, DE</t>
  </si>
  <si>
    <t>PVM, FR, SER-228P, 228W, DUAL, w/MC3 (001-65583)</t>
  </si>
  <si>
    <t>PVM, FR, SER-228P, 228W, DUAL, w/MC4 (001-65583)</t>
  </si>
  <si>
    <t>ASSY, MODULE, T5, 305EL-WHT-D C, C60 (1507-352)</t>
  </si>
  <si>
    <t>Laminate-C60-Dummy-Wht-72 cell</t>
  </si>
  <si>
    <t>Laminate-C60-Dummy-Wht-96 cell</t>
  </si>
  <si>
    <t>INVERTER, ESANTERNO, SUNWAY TG26 600V, 400 VAC, 50 HZ TRANSFORMER, NO GND, EU</t>
  </si>
  <si>
    <t>INVERTER, ESANTERNO, SUNWAY TG42 600V, 400 VAC, 50 HZ TRANSFORMER, NO GND, EU</t>
  </si>
  <si>
    <t>INVERTER, ESANTERNO, SUNWAY TG61 600V-, 400 VAC, 50 HZ TRANSFORMER, NO GND, EU</t>
  </si>
  <si>
    <t>INVERTER, ESANTERNO, SUNWAY TG90 600V, 400 VAC, 50 HZ TRANSFORMER, NO GND, EU</t>
  </si>
  <si>
    <t>INVERTER, ESANTERNO, SUNWAY TG110 600V, 400VAC, 50 HZ TRANSFORMER, NO GND, EU</t>
  </si>
  <si>
    <t>INVERTER, ESANTERNO, SUNWAY TG135 600V, 400VAC, 50 HZ TRANSFORMER, NO GND, EU</t>
  </si>
  <si>
    <t>INVERTER, ESANTERNO, SUNWAY TG35 800V, 400VAC, 50 HZ TRANSFORMER, NO GND, EU</t>
  </si>
  <si>
    <t>INVERTER, ESANTERNO, SUNWAY TG57 800V, 400 VAC, 50 HZ TRANSFORMER, NO GND, EU</t>
  </si>
  <si>
    <t>INVERTER, ESANTERNO, SUNWAY TG82 800V, 400VAC, 50 HZ TRANSFORMER, NO GND, EU</t>
  </si>
  <si>
    <t>INVERTER, ESANTERNO, SUNWAY TG120 800V, 400VAC, 50 HZ TRANSFORMER, NO GND, EU</t>
  </si>
  <si>
    <t>INVERTER, ESANTERNO, SUNWAY TG145 800V, 400VAC, 50 HZ TRANSFORMER, NO GND, EU</t>
  </si>
  <si>
    <t>INVERTER, ESANTERNO, SUNWAY TG180 600V TE, 202VAC, 50 HZ TRAFOLESS, NO GND, EU</t>
  </si>
  <si>
    <t>INVERTER, ESANTERNO, SUNWAY TG175 800V-TE, 270 VAC, 50 HZ TRAFOLESS, NO GND, EU</t>
  </si>
  <si>
    <t>INVERTER, ESANTERNO, SUNWAY TG240 800V-TE, 270 VAC, 50 HZ TRAFOLESS, NO GND, EU</t>
  </si>
  <si>
    <t>INVERTER, ESANTERNO, SUNWAY TG310 800V-TE, 270 VAC, 50 HZ TRAFOLESS, NO GND, EU</t>
  </si>
  <si>
    <t>INVERTER, ESANTERNO, SUNWAY TG385 800V-TE, 270 VAC, 50 HZ TRAFOLESS, NO GND, EU</t>
  </si>
  <si>
    <t>INVERTER, ESANTERNO, SUNWAY TG485 800V-TE, 270 VAC, 50 HZ TRAFOLESS, NO GND, EU</t>
  </si>
  <si>
    <t>INVERTER, ESANTERNO, SUNWAY TG610 800V-TE, 270 VAC, 50 HZ TRAFOLESS, NO GND, EU</t>
  </si>
  <si>
    <t>INVERTER, ESANTERNO, SUNWAY TG730 800V-TE, 270 VAC, 50 HZ TRAFOLESS, NO GND, EU</t>
  </si>
  <si>
    <t>INVERTER ACCESSORY, FRONIUS, DISPLAY IG PLUS, EU</t>
  </si>
  <si>
    <t>INVERTER ACCESSORY, FRONIUS, DISPLAY IG PLUS, RFB-EU</t>
  </si>
  <si>
    <t>INVERTER ACCESSORY, FRONIUS, IG PLUS, 10A STRING FUSE, EU</t>
  </si>
  <si>
    <t>INVERTER ACCESSORY, FRONIUS, COM CARD, IG PLUS, EU</t>
  </si>
  <si>
    <t>INVERTER ACCESSORY, FRONIUS, POWERSTAGE 1, EU</t>
  </si>
  <si>
    <t>INVERTER ACCESSORY, FRONIUS, POWERSTAGE 2, EU</t>
  </si>
  <si>
    <t>INVERTER ACCESSORY, FRONIUS, POWERSTAGE 3, EU</t>
  </si>
  <si>
    <t>INVERTER ACCESSORY, FRONIUS, POWERSTAGE 1, EU-RFB</t>
  </si>
  <si>
    <t>INVERTER ACCESSORY, FRONIUS, POWERSTAGE 2, EU-RFB</t>
  </si>
  <si>
    <t>INVERTER ACCESSORY, FRONIUS, POWERSTAGE 3, EU-RFB</t>
  </si>
  <si>
    <t>INVERTER ACCESSORY, FRONIUS, POWERSTAGE 1 V, EU</t>
  </si>
  <si>
    <t>INVERTER ACCESSORY, FRONIUS, POWERSTAGE 2 V, EU</t>
  </si>
  <si>
    <t>INVERTER ACCESSORY, FRONIUS, POWERSTAGE 3 V</t>
  </si>
  <si>
    <t>INVERTER ACCESSORY, FRONIUS, POWERSTAGE 1 V, EU-RFB</t>
  </si>
  <si>
    <t>INVERTER ACCESSORY, FRONIUS, POWERSTAGE 2 V, EU-RFB</t>
  </si>
  <si>
    <t>INVERTER ACCESSORY, FRONIUS, POWERSTAGE 3 V-RFB</t>
  </si>
  <si>
    <t>TRANSFORMER, ESANTERNO, 202/400V, 137KW</t>
  </si>
  <si>
    <t>TRANSFORMER, ESANTERNO,  270/400V, 137KW</t>
  </si>
  <si>
    <t>TRANSFORMER, ESANTERNO, 270/400V, 184KW</t>
  </si>
  <si>
    <t>TRANSFORMER, ESANTERNO, 270/400V, 240KW</t>
  </si>
  <si>
    <t>TRANSFORMER,  ESANTERNO, 270/400V, 296KW</t>
  </si>
  <si>
    <t>TRANSFORMER,  ESANTERNO, 270/400V, 500KW</t>
  </si>
  <si>
    <t>TRANSFORMER,  ESANTERNO, 270/400V, 600KW</t>
  </si>
  <si>
    <t>TRANSFORMER, MV RESIN, ESANTERNO, 270/15000V, 250 KVA, SINGLE SECONDARY</t>
  </si>
  <si>
    <t>TRANSFORMER, MV RESIN, ESANTERNO, 270/20000V, 250 KVA, SINGLE SECONDARY</t>
  </si>
  <si>
    <t>TRANSFORMER, MV RESIN, ESANTERNO, 270/15000V, 315 KVA, SINGLE SECONDARY</t>
  </si>
  <si>
    <t>TRANSFORMER, MV RESIN, ESANTERNO, 270/20000V, 315 KVA, SINGLE SECONDARY</t>
  </si>
  <si>
    <t>TRANSFORMER, MV RESIN, ESANTERNO, 270/15000V, 500KVA, SINGLE SECONDARY</t>
  </si>
  <si>
    <t>TRANSFORMER, MV RESIN, ESANTERNO, 270/20000V, 500KVA, SINGLE SECONDARY</t>
  </si>
  <si>
    <t>TRANSFORMER, MV RESIN, ESANTERNO, 270/15000V, 630KVA, DOUBLE SECONDARY</t>
  </si>
  <si>
    <t>TRANSFORMER, ESANTERNO, 270/20000, 630KVA, DOUBLE SECONDARY</t>
  </si>
  <si>
    <t>TRANSFORMER, ESANTERNO, 270/15000, 400KVA DOUBLE SECONDARY</t>
  </si>
  <si>
    <t>TRANSFORMER, ESANTERNO, 270/20000, 400 KVA DOUBLE SECONDARY</t>
  </si>
  <si>
    <t>TRANSFORMER, ESANTERNO, 270/15000, 500KVA DOUBLE SECONDARY</t>
  </si>
  <si>
    <t>TRANSFORMER, ESANTERNO, 270/20000, 500KVA DOUBLE SECONDARY</t>
  </si>
  <si>
    <t>TRANSFORMER, ESANTERNO, 270/15000, 1000KVA DOUBLE SECONDARY</t>
  </si>
  <si>
    <t>TRANSFORMER, ESANTERNO, 270/20000, 1000KVA, DOUBLE SECONDARY</t>
  </si>
  <si>
    <t>TRANSFORMER, ESANTERNO, 270/15000, 1250KVA, DOUBLE SECONDARY</t>
  </si>
  <si>
    <t>TRANSFORMER, ESANTERNO, 270/20000, 1250KVA, DOUBLE SECONDARY</t>
  </si>
  <si>
    <t>TRANSFORMER, ESANTERNO, 270/15000, 400KVA, SINGLE SECONDARY</t>
  </si>
  <si>
    <t>TRANSFORMER, ESANTERNO, 270/15000, 800 KVA, DOUBLE SECONDARY</t>
  </si>
  <si>
    <t>ASSY, PALLET, 2-WAY, SOLID DECK, 22 UNITS TALL, PACKAGING, T5 (001-63646)</t>
  </si>
  <si>
    <t>PVM, SPR-400E-WHT-D CAR</t>
  </si>
  <si>
    <t>PVM, SPR-400E-WHT-D CAR-A</t>
  </si>
  <si>
    <t>PVM, SPR-390E-WHT-D C</t>
  </si>
  <si>
    <t>PVM, SPR-290E-BLK-D</t>
  </si>
  <si>
    <t>BOX, TRANSFORMER, MV, KIT TYPE 1</t>
  </si>
  <si>
    <t>BOX, TRANSFORMER, MV, KIT TYPE 2</t>
  </si>
  <si>
    <t>BOX, TRANSFORMER, MV, KIT TYPE 3</t>
  </si>
  <si>
    <t>BOX, TRANSFORMER, MV, KIT TYPE 4</t>
  </si>
  <si>
    <t>BOX, BEF NT935, FOR SINGLE SECONDARY LV/MV TRANSFORMER</t>
  </si>
  <si>
    <t>CABINET, DC PARALLEL, ESANTERNO, 4/8 A 800 V SUNWAY TG 120/145</t>
  </si>
  <si>
    <t>CABINET, DC PARALLEL, ESANTERNO, 4/8 B 600 V SUNWAY TG 180</t>
  </si>
  <si>
    <t>CABINET, DC PARALLEL, ESANTERNO, 5/10 B 800V SUNWAY TG 485</t>
  </si>
  <si>
    <t>CABINET, DC PARALLEL, ESANTERNO, 8/16 B 800V SUNWAY TG 485</t>
  </si>
  <si>
    <t>CABINET, DC PARALLEL, ESANTERNO, 10/20 D 800V SUNWAY TG 610/730</t>
  </si>
  <si>
    <t>CABINET, DC PARALLEL, ESANTERNO, 4/10 B 800V SUNWAY TG 240</t>
  </si>
  <si>
    <t>INVERTER ACCESSORY, KIT, ES 851 WEB FOR SUNWAY TG TE VERSION, W/RS485</t>
  </si>
  <si>
    <t>FUSE, 43A, 50A NH1 GR 750VDC</t>
  </si>
  <si>
    <t>FUSE, 85A, 100A NH1 GR 750VDC</t>
  </si>
  <si>
    <t>FUSE, 107A, 125A NH1 GR 750VDC</t>
  </si>
  <si>
    <t>FUSE, 136A, 160A NH1 GR 750VDC</t>
  </si>
  <si>
    <t>FUSE, 43A, 50A NH1 GR 900VDC</t>
  </si>
  <si>
    <t>FUSE, 54A, 63A NH1 GR 900VDC</t>
  </si>
  <si>
    <t>FUSE, 85A, 100A NH1 GR 900VDC</t>
  </si>
  <si>
    <t>FUSE, 107A, 125A NH1 GR 900VDC</t>
  </si>
  <si>
    <t>FUSE, LINK, SWITCHABLE BLADE NH 750V</t>
  </si>
  <si>
    <t>FUSE, LINK, NEUTRAL BLADE LONG NH 900 V</t>
  </si>
  <si>
    <t>USB /RS 485 EXTERNAL CONVERTER</t>
  </si>
  <si>
    <t>CABINET, AC PARALLEL, ESANTERNO, 2x400+800</t>
  </si>
  <si>
    <t>CABINET, AC PARALLEL, ESANTERNO, 2x630+1250</t>
  </si>
  <si>
    <t>CABINET, AC PARALLEL, ESANTERNO, 2x800+1600</t>
  </si>
  <si>
    <t>CABINET, AC PARALLEL, ESANTERNO, 3x400+1250</t>
  </si>
  <si>
    <t>CABINET, AC PARALLEL, ESANTERNO, 3x630+2000</t>
  </si>
  <si>
    <t>CABINET, AC PARALLEL, ESANTERNO, 3x800+2000</t>
  </si>
  <si>
    <t>CABINET, AC PARALLEL, ESANTERNO, 4x400+1600</t>
  </si>
  <si>
    <t>CABINET, AC PARALLEL, ESANTERNO, 4x630+2500</t>
  </si>
  <si>
    <t>CABINET, AC PARALLEL, ESANTERNO, 4x800+3200</t>
  </si>
  <si>
    <t>COLUMN, CABLE EXIT, AC PARALLEL, ESANTERNO, RISALITA</t>
  </si>
  <si>
    <t>ASSY, TILE, PG, SPR-305EL-WHT-D C, IEC, EU, METAL CHANNEL</t>
  </si>
  <si>
    <t>ASSY, BBD, SUNP 96 CELL PG, HFC FOAM, METAL CHANNEL</t>
  </si>
  <si>
    <t>BBD, FOAM, SUNP 96 CELL MOD, HFC FOAM</t>
  </si>
  <si>
    <t>SPACER, FOAM, 2.0 X 2.5 X 16.25, HFC FOAM</t>
  </si>
  <si>
    <t>FILM, DuPont, TEDLAR, 1.5MIL NOM</t>
  </si>
  <si>
    <t>METAL CHANNEL, EU PG</t>
  </si>
  <si>
    <t>PVM, SPR-318E-WHT-K</t>
  </si>
  <si>
    <t>PVM, SPR-305E-WHT-K</t>
  </si>
  <si>
    <t>PVM, SPR-230E-WHT-K</t>
  </si>
  <si>
    <t>BOX, BEF NT935, FOR DOUBLE SECONDARY LV/MV TRANSFORMER</t>
  </si>
  <si>
    <t>PVM, SPR-300E-WHT-D C CC3</t>
  </si>
  <si>
    <t>FUSE, 136A,  160 A NH1 900 VDC</t>
  </si>
  <si>
    <t>FUSE, 160A (2 X100) NH1 900 VDC</t>
  </si>
  <si>
    <t>INVERTER ACCESSORY, KIT, DATA LOGGER, ES 851 WEB FOR SUNWAY MPLUS, W/RS485</t>
  </si>
  <si>
    <t>PVM, SPR-318E-WHT-D CAR-A N</t>
  </si>
  <si>
    <t>PVM, SPR-305E-WHT-D CAR-A N</t>
  </si>
  <si>
    <t>MONITORING ITEM, SPR-PMR-WDISP, WIRELESS DISPLAY, SMS 1.2, US/EU, REFURBISHED</t>
  </si>
  <si>
    <t>MONITORING ITEM, SPR-PMR-DLOG, DATA LOGGER, SMS 1.2, US/EU, REFURBISHED</t>
  </si>
  <si>
    <t>MONITORING ITEM, SPR-PMR-GTWY, GATEWAY, SMS 1.2, US/EU, REFURBISHED</t>
  </si>
  <si>
    <t>MONITORING ITEM, SPR-PMR-DLOG, DATA LOGGER, SMS 1.1, REFURBISHED</t>
  </si>
  <si>
    <t>MONITORING ITEM, SPR-PMR-GTWY, GATEWAY, SMS 1.1, REFURBISHED</t>
  </si>
  <si>
    <t>MONITORING ITEM, SPR-PMR-WDISP, WIRELESS DISPLAY, SMS 1.1, REFURBISHED</t>
  </si>
  <si>
    <t>PVM, SPR-214E-BLK-I</t>
  </si>
  <si>
    <t>INVERTER, SPR-2500M-FR, 2.5KW, 600V AC, 50-60HZ, POS GND, W/ RS485, 10 YR WARRANTY</t>
  </si>
  <si>
    <t>INVERTER, FRONIUS, IG TL 3.0, 3KW, 850VAC, 50-60HZ, NO GND, TRANSFORMERLESS, 10 YR WARRANTY</t>
  </si>
  <si>
    <t>INVERTER, FRONIUS, IG TL 4.0, 4KW, 850VAC, 50-60HZ, NO GND, TRANSFORMERLESS, 10 YR WARRANTY</t>
  </si>
  <si>
    <t>INVERTER, 5 YEAR WARRANTY EXTENSION, FRONIUS, IG TL 3.0/4.0</t>
  </si>
  <si>
    <t>INVERTER, SMA, STP 10000TL-10, 400/230 VAC, 50-60HZ, TRANSFORMERLESS, 10 YR WARRANTY, DE</t>
  </si>
  <si>
    <t>INVERTER, SMA, STP 12000TL-10, 400/230 VAC, 50-60HZ, TRANSFORMERLESS, 10 YR WARRANTY, DE</t>
  </si>
  <si>
    <t>INVERTER, SMA, STP 10000TL-10-RFB, 400/230 VAC, 50-60HZ, TRANSFORMERLESS, 10 YR WARRANTY, DE</t>
  </si>
  <si>
    <t>INVERTER, SMA, STP 12000TL-10-RFB, 400/230 VAC, 50-60HZ, TRANSFORMERLESS, 10 YR WARRANTY, DE</t>
  </si>
  <si>
    <t>Inverter, SPR-7000-11M-DE</t>
  </si>
  <si>
    <t>Inverter, SPR-7000-11M-ES</t>
  </si>
  <si>
    <t>Inverter, SPR-7000-11M-FR</t>
  </si>
  <si>
    <t>Inverter, SPR-7000-11M-IT</t>
  </si>
  <si>
    <t>Inverter, SPR-7000-11M-DE-RFB</t>
  </si>
  <si>
    <t>Inverter, SPR-7000-11M-ES-RFB</t>
  </si>
  <si>
    <t>Inverter, SPR-7000-11M-FR-RFB</t>
  </si>
  <si>
    <t>Inverter, SPR-7000-11M-IT-RFB</t>
  </si>
  <si>
    <t>INVERTER, SMA, SB 1200-DE, POS GND, W/ RS485, GERMANY</t>
  </si>
  <si>
    <t>INVERTER, SMA, SB 1200-DE-RFB, POS GND, W/ RS485, GERMANY</t>
  </si>
  <si>
    <t>BOLT, HEX, 3/8" - 16 x 4", FULL THREAD, ZINC</t>
  </si>
  <si>
    <t>WASHER, FENDER, 3/8" ID, 1-1/2" OD, ZINC</t>
  </si>
  <si>
    <t>LUMBER, 1.500 X 3.500 X 83.375</t>
  </si>
  <si>
    <t>LUMBER, 0.750 X 1.500 X 82.000</t>
  </si>
  <si>
    <t>ASSY, PALLET BASE, 2 WAY, SOLID DECK, T5</t>
  </si>
  <si>
    <t>PVM, Demo Module-72 Cell Blk-E AR</t>
  </si>
  <si>
    <t>PVM, Demo Module-72 Cell-E Wht AR</t>
  </si>
  <si>
    <t>PVM, Demo Module-96 Cell-E Wht AR</t>
  </si>
  <si>
    <t>KIT, MOUNTING ITEM, SOLARMOUNT-I SPR-SM-I, BLACK</t>
  </si>
  <si>
    <t>INVERTER, SPR-8000m, POS GND, W/ RS232, 10 YR WARRANTY</t>
  </si>
  <si>
    <t>INVERTER, SPR-8000M-RFB, POS GND, W/ RS 232, 10 YR WARRANTY</t>
  </si>
  <si>
    <t>OSP MX, PVM, SPR-238E-WHT-D AR, AR GLASS (PV.110812)</t>
  </si>
  <si>
    <t>PVM, UNFR, SPR-318EL-WHT-D CAR-A N</t>
  </si>
  <si>
    <t>PVM, UNFR, SPR-305EL-WHT-D CAR-A N</t>
  </si>
  <si>
    <t>PVM, SPR-225E-WHT-D</t>
  </si>
  <si>
    <t>PVM, UNFR, SPR-318EL-WHT-D CAR-A</t>
  </si>
  <si>
    <t>PVM, UNFR, SPR-305EL-WHT-D CAR-A</t>
  </si>
  <si>
    <t>ASSY, TILE, PG, SPR-310EL-WHT-D C, IEC, EU, METAL CHANNEL</t>
  </si>
  <si>
    <t>INVERTER, SINGLE PHASE, SPR-3300f-RFB, 3.3KW, 208/240/277 VAC, 60HZ, POS GND, W/ COMCARD, SMS &amp; FUSES, 10 YR WARRANTY</t>
  </si>
  <si>
    <t>INVERTER, SINGLE PHASE, SPR-4000f-RFB, 4KW, 208/240/277 VAC, 60HZ, POS GND, W/ COMCARD, SMS &amp; FUSES, 10 YR WARRANTY</t>
  </si>
  <si>
    <t>INVERTER, SINGLE PHASE, SPR-6500f-RFB, 6.5KW, 208/240/277 VAC, 60HZ, POS GND, W/ COMCARD, SMS&amp;FUSES, 10 YR WARRANTY</t>
  </si>
  <si>
    <t>INVERTER, SINGLE PHASE, SPR-8000f-RFB, 8KW, 208/240/277 VAC, 60HZ, POS GND, W/ COMCARD, SMS &amp; FUSES, 10 YR WARRANTY</t>
  </si>
  <si>
    <t>INVERTER, SINGLE PHASE, SPR-12000f-RFB, 11.4KW, 277 VAC, 60HZ, POS GND, W/ COMCARD, SMS&amp; FUSES, 10 YR WARRANTY</t>
  </si>
  <si>
    <t>INVERTER, THREE PHASE, SPR-11400f-3-208/240-RFB, 11.4 KW, 208/240 VAC, 60HZ, POS GND, W/ COMCARD, SMS&amp; FUSES, 10 YR WARRANTY</t>
  </si>
  <si>
    <t>INVERTER, THREE PHASE, SPR-12000f-3-277 (WYE)-RFB, 12 KW, 277 VAC, 60HZ, POS GND, W/ COMCARD, SMS &amp; FUSES, 10 YR WARRANTY</t>
  </si>
  <si>
    <t>SUBASSY, METAL CHANNEL, EU PG</t>
  </si>
  <si>
    <t>METER, 3-PHASE, IME, CONTO D4-PT, CE4DT14A6</t>
  </si>
  <si>
    <t>METER, POWER AND ENERGY, GAUGETECH, SHARK100, 100-S-60-10-V3-RS485</t>
  </si>
  <si>
    <t>MOUNTING ITEM, END CLAMP, ARRID, SPME-42, 42MM, PACK OF 4</t>
  </si>
  <si>
    <t>INVERTER, SATCON, POWERGATE PLUS, 375KW, 480V, 60HZ, POS GND, GFI, PVS-375-4UL, STD WARRANTY</t>
  </si>
  <si>
    <t>INVERTER, SATCON, POWERGATE PLUS, 375KW, 480V, 60HZ, NEG GND, GFI, PVS-375-4UL, STD WARRANTY</t>
  </si>
  <si>
    <t>KIT, ISOLATOR, ROOFTOP</t>
  </si>
  <si>
    <t>PVM, SPR-280-WHT-D C CC3</t>
  </si>
  <si>
    <t>PVM, SPR-327NE-WHT-D AR-A</t>
  </si>
  <si>
    <t>PVM, SPR-315NE-WHT-D AR              </t>
  </si>
  <si>
    <t>PVM, SPR-320E-WHT-D AR</t>
  </si>
  <si>
    <t>PVM, SPR-245NE-WHT-D AR</t>
  </si>
  <si>
    <t>PVM, SPR-235NE-WHT-D AR</t>
  </si>
  <si>
    <t>PVM, SPR-240E-WHT-D AR</t>
  </si>
  <si>
    <t>PVM, SPR-308E-WHT-D</t>
  </si>
  <si>
    <t>PVM, SPR-290E-WHT-D</t>
  </si>
  <si>
    <t>PVM, SPR-300NE-BLK-D</t>
  </si>
  <si>
    <t>PVM, SPR-290NE-BLK-D</t>
  </si>
  <si>
    <t>PVM, SPR-300NE-WHT-D</t>
  </si>
  <si>
    <t>PVM, SPR-240NE-WHT-J</t>
  </si>
  <si>
    <t>PVM, SPR-320E-WHT-K</t>
  </si>
  <si>
    <t>PVM, SPR-327NE-WHT-D CAR</t>
  </si>
  <si>
    <t>PVM, SPR-320E-WHT-D CAR (C60 Cell)</t>
  </si>
  <si>
    <t>PVM, UNFR, SPR-327NEL-WHT-D CAR</t>
  </si>
  <si>
    <t>PVM, UNFR, SPR-320EL-WHT-D CAR-A - EOL</t>
  </si>
  <si>
    <t>PVM, UNFR, SPR-308EL-WHT-D</t>
  </si>
  <si>
    <t>PVM, SPR-315NE-WHT-D CAR</t>
  </si>
  <si>
    <t>PVM, UNFR, SPR-315NEL-WHT-D CAR</t>
  </si>
  <si>
    <t>PVM, Demo Module-96 Cell-E BLK</t>
  </si>
  <si>
    <t>MONITORING KIT, COMMERCIAL, CORE, SMS 2.0</t>
  </si>
  <si>
    <t>MONITORING KIT, COMMERCIAL, PLUS, SMS 2.0</t>
  </si>
  <si>
    <t>PVM, SPR-238E-WHT-D AR-1</t>
  </si>
  <si>
    <t>PVM, SPR-318E-WHT-D AR-1</t>
  </si>
  <si>
    <t>PVM, SPR-318E-WHT-D CAR-1</t>
  </si>
  <si>
    <t>PVM, SPR-305E-WHT-D AR-1</t>
  </si>
  <si>
    <t>PVM, SPR-305E-WHT-D CAR-1</t>
  </si>
  <si>
    <t>PVM, SPR-225E-BLK-D-1</t>
  </si>
  <si>
    <t>PVM, SPR-225E-WHT-D AR-1</t>
  </si>
  <si>
    <t>PVM, SPR-230E-WHT-D-1</t>
  </si>
  <si>
    <t>PVM, SPR-300E-WHT-D-1</t>
  </si>
  <si>
    <t>PVM, SPR-315E-WHT-D CAR-1</t>
  </si>
  <si>
    <t>PVM, SPR-310E-WHT-D C-1</t>
  </si>
  <si>
    <t>PV ADAPTER, MC3 - MC4, PV-A-KBT4/KST3</t>
  </si>
  <si>
    <t>PV ADAPTER, MC3 - MC4, PV-A-KBT3/KST4</t>
  </si>
  <si>
    <t>PVM, FR, SER-235P, UL, w/MC3, SILVER FRAME (1509-020-11)</t>
  </si>
  <si>
    <t>PVM, FR, SER-235P, UL, w/MC4, SILVER FRAME (1509-020-12)</t>
  </si>
  <si>
    <t>PVM, FR, SER-235P, IEC, w/MC3, SILVER FRAME (1509-020-09)</t>
  </si>
  <si>
    <t>PVM, FR, SER-235P, IEC, w/MC4, SILVER FRAME (1509-020-10)</t>
  </si>
  <si>
    <t>PVM, FR, SER-235P, 235W, DUAL, w/MC3 (001-65583)</t>
  </si>
  <si>
    <t>PVM, FR, SER-235P, 235W, DUAL, w/MC4 (001-65583)</t>
  </si>
  <si>
    <t>SCREW, SELF THREADING, HWH, TYPE F, #10-32UNF-2A X 0.5, 18-8SS</t>
  </si>
  <si>
    <t>ASSY, TILE, PG, SPR-305EL-WHT-D C (1507-177)</t>
  </si>
  <si>
    <t>ASSY, TILE, PG, SPR-310EL-WHT-D C (1507-177)</t>
  </si>
  <si>
    <t>PVM, FR, SANY HIP-175BA10, 175W, UL, W/MC3</t>
  </si>
  <si>
    <t>PVM, FR, SANY HIP-190BA10, 190W, UL, W/MC3</t>
  </si>
  <si>
    <t>PVM, FR, SANY HIP-186BA12, 186W, UL, W/MC3</t>
  </si>
  <si>
    <t>PVM, FR, SANY HIP-190BA12, 190W, UL, W/MC3</t>
  </si>
  <si>
    <t>ASSY, MODULE, T5, 315EL-WHT-U CAR, C60 (1507-352)</t>
  </si>
  <si>
    <t>ASSY, MODULE, T5, 318ELN-WHT-D CAR-A, C60 (1507-352)</t>
  </si>
  <si>
    <t>PVM, SPR-318E-WHT-D CAR-A1 - EOL</t>
  </si>
  <si>
    <t>PVM, UNFR, SPR-318EL-WHT-D CAR-A - EOL</t>
  </si>
  <si>
    <t>INVERTER, KACO, POWADOR 18.0 TR3-DE, 18 KW, 600VAC, 50HZ, PV-SPECIFIC GND, DE</t>
  </si>
  <si>
    <t>INVERTER, KACO, POWADOR 18.0 TR3-RFB-DE, 18 KW, 600VAC, 50HZ, RS 485, PV-SPECIFIC GND, DE</t>
  </si>
  <si>
    <t>INVERTER, SATCON, PRISM-MVP-2, 1MW, 900VDC, 265VAC, 60 HZ, POS GND, GFI, WITHOUT MV TRANSFORMER</t>
  </si>
  <si>
    <t>PVM, UNFR, SPR-245NEL-WHT-D AR</t>
  </si>
  <si>
    <t>INVERTER, SPR-3301f-1-UNI, 3.3KW, 208/240/277 VAC, 60HZ, POS GND, W/ RS485, 15A FUSES</t>
  </si>
  <si>
    <t>INVERTER, SPR-3301f-1-UNI-RFB, 3.3KW, 208/240/277 VAC, 60HZ, POS GND, W/ RS485, 15A FUSES</t>
  </si>
  <si>
    <t>INVERTER, SPR-3801f-1-UNI, 3.8KW, 208/240/277 VAC, 60HZ, POS GND, W/RS485, 15A FUSES</t>
  </si>
  <si>
    <t>INVERTER, SPR-3801f-1-UNI-RFB, 3.8KW, 208/240/277 VAC, 60HZ, POS GND, W/ RS485, 15A FUSES</t>
  </si>
  <si>
    <t>INVERTER, SPR-6501f-1-UNI, 6.5KW, 208/240/277 VAC, 60HZ, POS GND, W/ RS485, 15A FUSES</t>
  </si>
  <si>
    <t>INVERTER, SPR-6501f-1-UNI-RFB, 6.5KW, 208/240/277 VAC, 60HZ, POS GND, W/ RS485, 15A FUSES</t>
  </si>
  <si>
    <t>INVERTER, SPR-7501f-1-UNI, 7.5KW, 208/240/277 VAC, 60HZ, POS GND, W/ RS485, 15A FUSES</t>
  </si>
  <si>
    <t>INVERTER, SPR-7501f-1-UNI-RFB, 7.5KW, 208/240/277 VAC, 60HZ, POS GND, W/ RS485, 15A FUSES</t>
  </si>
  <si>
    <t>INVERTER, SPR-10001f-1-UNI, 10KW,208/240/277 VAC, 60HZ, POS GND, W/ RS485, 15A FUSES</t>
  </si>
  <si>
    <t>INVERTER, SPR-10001f-1-UNI-RFB, 10KW, 208/240/277 VAC, 60HZ, POS GND, W/ RS485, 15A FUSES</t>
  </si>
  <si>
    <t>INVERTER, SPR-11401f-1-UNI, 11.4KW,208/240/277 VAC, 60HZ, POS GND, W/ RS485, 15A FUSES</t>
  </si>
  <si>
    <t>INVERTER, SPR-11401f-1-UNI-RFB, 11.4KW, 208/240/277 VAC, 60HZ, POS GND, W/ RS485, 15A FUSES</t>
  </si>
  <si>
    <t>INVERTER, SPR-11401f-3-208/240 DELTA, 11.4KW, 208/240VAC, 60HZ, POS GND, W/ RS485, 15A FUSES</t>
  </si>
  <si>
    <t>INVERTER, SPR-11401f-3-208/240 DELTA-RFB, 11.4KW, 208/240VAC, 60HZ, POS GND, W/ RS485, 15A FUSES</t>
  </si>
  <si>
    <t>INVERTER, SPR-12001f-3-277WYE, 12.0KW, 277VAC, 60HZ, POS GND, W/ RS485, 15A FUSES</t>
  </si>
  <si>
    <t>INVERTER, SPR-12001f-3-277WYE-RFB, 12.0KW, 277VAC, 60HZ, POS GND, W/ RS485, 15A FUSES</t>
  </si>
  <si>
    <t>Mounting Systems, EU, 14 x Roof hook for battens silver (720-0032)</t>
  </si>
  <si>
    <t>INVERTER ACCESSORY, SMA COMMUNICATION CARD, RS232 PIGGY BACK, NA</t>
  </si>
  <si>
    <t>PVM, SPR-315E-WHT-D CAR-A (PM)</t>
  </si>
  <si>
    <t>PVM, SPR-238E-WHT-D AR-A</t>
  </si>
  <si>
    <t>PVM, SPR-238E-WHT-D AR-A1</t>
  </si>
  <si>
    <t>PVM, SPR-315E-WHT-D AR-A</t>
  </si>
  <si>
    <t>PVM, SPR-315E-WHT-K-A</t>
  </si>
  <si>
    <t>PVM, SPR-318E-WHT-D AR -A</t>
  </si>
  <si>
    <t>PVM, SPR-318E-WHT-D AR-A1</t>
  </si>
  <si>
    <t>PVM, SPR-318E-WHT-K-A</t>
  </si>
  <si>
    <t>PVM, SPR-305E-WHT-D AR-A</t>
  </si>
  <si>
    <t>PVM, UNFR, SPR-315EL-WHT-D CAR-A - EOL</t>
  </si>
  <si>
    <t>PVM, UNFR, SPR-295L-WHT-D CAR-A</t>
  </si>
  <si>
    <t>PVM, SPR-305E-WHT-D CAR-A1 - EOL</t>
  </si>
  <si>
    <t>MONITORING ITEM, SP-ACC-SPRf, ACCESSORY KIT, SMS 2.0</t>
  </si>
  <si>
    <t>MONITORING ITEM, SP-ACC-SPRm, ACCESSORY KIT, SMS 2.0</t>
  </si>
  <si>
    <t>MONITORING ITEM, SP-TB-10, ACCESSORY KIT, SMS 2.0</t>
  </si>
  <si>
    <t>MONITORING ITEM, SP-DK-10, ACCESSORY KIT, SMS 2.0</t>
  </si>
  <si>
    <t>MONITORING ITEM, SP-ACC-Enc, ACCESSORY KIT, SMS 2.0</t>
  </si>
  <si>
    <t>MONITORING ITEM, SD FLASH-CARD 512MB, MFG # AF512SDI, SMS 2.0, QTY 5</t>
  </si>
  <si>
    <t>INVERTER, SATCON, PRISM-MVP-2, 500KW, 900VDC, 265VAC, 60 HZ, POS GND, GFI, WITHOUT MV TRANSFORMER</t>
  </si>
  <si>
    <t>PVM, SPR-320E-WHT-D AR-1</t>
  </si>
  <si>
    <t>PVM, SPR-240E-WHT-D AR-1</t>
  </si>
  <si>
    <t>PVM, SPR-308E-WHT-D-1</t>
  </si>
  <si>
    <t>PVM, SPR-305E-WHT-D-1</t>
  </si>
  <si>
    <t>PVM, SPR-305E-WHT-D AR-A1</t>
  </si>
  <si>
    <t>PVM, SPR-290E-WHT-D-1</t>
  </si>
  <si>
    <t>PVM, SPR-225E-WHT-D-1</t>
  </si>
  <si>
    <t>INVERTER, SPR-1700M-AU, POS GND, 5 YR WARRANTY, NO COMCARD</t>
  </si>
  <si>
    <t>INVERTER, SPR-1700M-AU-RFB, POS GND, 5 YR WARRANTY, NO COMCARD</t>
  </si>
  <si>
    <t>INVERTER, SPR-2500M-AU, POS GND, 5 YR WARRANTY, NO COMCARD</t>
  </si>
  <si>
    <t>INVERTER, SPR-2500M-AU-RFB, POS GND, 5 YR WARRANTY, NO COMCARD</t>
  </si>
  <si>
    <t>INVERTER, SPR-3800M-AU, POS GND, 5 YR WARRANTY, NO COMCARD</t>
  </si>
  <si>
    <t>INVERTER, SPR-3800M-AU-RFB, POS GND, 5 YR WARRANTY, NO COMCARD</t>
  </si>
  <si>
    <t>INVERTER, SPR-6000M-AU, POS GND, 5 YR WARRANTY, NO COMCARD</t>
  </si>
  <si>
    <t>INVERTER, SPR-6000M-AU-RFB, POS GND, 5 YR WARRANTY, NO COMCARD</t>
  </si>
  <si>
    <t>INVERTER, SPR-3000M-AU, POS GND, 5 YR WARRANTY, NO COMCARD</t>
  </si>
  <si>
    <t>INVERTER, SPR-3000M-AU-RFB, POS GND, 5 YR WARRANTY, NO COMCARD</t>
  </si>
  <si>
    <t>PVM, SPR-300E-WHT-K</t>
  </si>
  <si>
    <t>INVERTER, SPR-3501F-1-AU, 5 YR WARRANTY, POS GND, NO COMCARD</t>
  </si>
  <si>
    <t>INVERTER, SPR-3501F-1-AU-RFB, 5 YR WARRANTY, POS GND, NO COMCARD</t>
  </si>
  <si>
    <t>INVERTER, SPR-4001F-1-AU, 5 YR WARRANTY, POS GND, NO COMCARD</t>
  </si>
  <si>
    <t>INVERTER, SPR-4001F-1-AU-RFB, 5 YR WARRANTY, POS GND, NO COMCARD</t>
  </si>
  <si>
    <t>INVERTER, SPR-6501F-2-AU, 5 YR WARRANTY, POS GND, NO COMCARD</t>
  </si>
  <si>
    <t>INVERTER, SPR-6501F-2-AU-RFB, 5 YR WARRANTY, POS GND, NO COMCARD</t>
  </si>
  <si>
    <t>INVERTER, SPR-8001F-2-AU, 5 YR WARRANTY, POS GND, NO COMCARD</t>
  </si>
  <si>
    <t>INVERTER, SPR-8001F-2-AU-RFB, 5 YR WARRANTY, POS GND, NO COMCARD</t>
  </si>
  <si>
    <t>INVERTER, SPR-10001F-3-AU, 5 YR WARRANTY, POS GND, NO COMCARD</t>
  </si>
  <si>
    <t>INVERTER, SPR-10001F-3-AU-RFB, 5 YR WARRANTY, POS GND, NO COMCARD</t>
  </si>
  <si>
    <t>INVERTER, SPR-12001F-3-AU, 5 YR WARRANTY, POS GND, NO COMCARD</t>
  </si>
  <si>
    <t>INVERTER, SPR-12001F-3-AU-RFB, 5 YR WARRANTY, POS GND, NO COMCARD</t>
  </si>
  <si>
    <t>ASSY, MET STATION, IOLOGIK R2140 A/D, FREE STANDING, COMMERCIAL</t>
  </si>
  <si>
    <t>MONITORING ITEM, CONTRACT MFG KIT, SMS 2.0</t>
  </si>
  <si>
    <t>PVM, SPR-320E-WHT-D AR-A</t>
  </si>
  <si>
    <t>PVM, SPR-240E-WHT-D AR-A</t>
  </si>
  <si>
    <t>PVM, UNFR, SPR-238EL-WHT-D AR-1</t>
  </si>
  <si>
    <t>PVM, UNFR, SOLRIF-SPR-245NE-WHT-D AR-1 L</t>
  </si>
  <si>
    <t>INVERTER, SPR-3000m, POS GND, W/ RS485, 10 YR WARRANTY</t>
  </si>
  <si>
    <t>INVERTER, SPR-3000m-RFB, POS GND, W/ RS485</t>
  </si>
  <si>
    <t>INVERTER, SPR-4000m, POS GND, W/ RS485, 10 YR WARRANTY</t>
  </si>
  <si>
    <t>INVERTER, SPR-4000m-RFB, POS GND, W/ RS485</t>
  </si>
  <si>
    <t>INVERTER, SPR-5000m, POS GND, W/ RS485, 10 YR WARRANTY</t>
  </si>
  <si>
    <t>INVERTER, SPR-5000m-RFB, POS GND, W/ RS485</t>
  </si>
  <si>
    <t>INVERTER, SPR-6000m, POS GND, W/ RS485, 10 YR WARRANTY</t>
  </si>
  <si>
    <t>INVERTER, SPR-6000m-RFB, POS GND, W/ RS485</t>
  </si>
  <si>
    <t>INVERTER, SPR-7000m, POS GND, W/ RS485, 10 YR WARRANTY</t>
  </si>
  <si>
    <t>INVERTER, SPR-7000m-RFB, POS GND, W/ RS485</t>
  </si>
  <si>
    <t>INVERTER, SPR-8000m, POS GND, W/ RS485, 10-YR WARRANTY</t>
  </si>
  <si>
    <t>INVERTER, SPR-8000m-RFB, POS GND, W/ RS485</t>
  </si>
  <si>
    <t>MICROINVERTER, SOLARBRIDGE, PANTHEON, 240V, 60HZ, P235HV-240F1</t>
  </si>
  <si>
    <t>LABEL, "DANGER SOLAR POWER DC CIRCUIT", 6” X 4”</t>
  </si>
  <si>
    <t>LABEL, "DANGER/WARNING HIGH VOLTAGE", 3” X 3”</t>
  </si>
  <si>
    <t>LABEL, "WARNING/CAUTION, FOR SYSTEM INFO", 4 5/8” X 10”</t>
  </si>
  <si>
    <t>SIGN, PLASTIC "PHOTOVOLTAIC AC DISCONNECT FOR UTILITY OPERATION", 4.5” X 3”</t>
  </si>
  <si>
    <t>SIGN, PLASTIC "WARNING DUAL POWER SUPPLY PHOTOVOLTAIC SYSTEM DISCONNECT", 4.5” X 3”</t>
  </si>
  <si>
    <t>SIGN, PLASTIC "WARNING DUAL POWER SUPPLY PHOTOVOLTAIC SYSTEM", 4.5” X 3”</t>
  </si>
  <si>
    <t>PVM, FR, SOLRIF-SPR-230E-WHT-I</t>
  </si>
  <si>
    <t>PVM, FR, SOLRIF-SPR-225E-BLK-I</t>
  </si>
  <si>
    <t>PVM, FR, SOLRIF-SPR-238E-WHT-I</t>
  </si>
  <si>
    <t>PVM, FR, SOLRIF-SPR-245NE-WHT-I</t>
  </si>
  <si>
    <t>ACE CLAMP, UNIRAC, SOLARMOUNT-I, PRIMARY BLOCK, 3/8", 004031M</t>
  </si>
  <si>
    <t>BEAM, UNIRAC, SOLARMOUNT-I, EXTRUDED ALUMINUM, MILL FINISH, 144" LONG, 011144M</t>
  </si>
  <si>
    <t>BEAM, UNIRAC, SOLARMOUNT-I, EXTRUDED ALUMINUM, MILL FINISH, 192" LONG, 011192M</t>
  </si>
  <si>
    <t>ONE-FLANGE FOOT, UNIRAC, SOLARMOUNT-I, CONNECTION, W/LAG BOLT, 004011M</t>
  </si>
  <si>
    <t>TWO-FLANGE FOOT, UNIRAC, SOLARMOUNT-I, CONNECTION, W/SCREWS &amp; BUTYL, 004003M</t>
  </si>
  <si>
    <t>KIT, BEAM SPLICE, UNIRAC, SOLARMOUNT-I, 003020M</t>
  </si>
  <si>
    <t>END CLAMP, UNIRAC, SOLARMOUNT-I, "F", 1.592", 002006C</t>
  </si>
  <si>
    <t>MID CLAMP, UNIRAC, SOLARMOUNT-I, "F", 1.404", 002030C</t>
  </si>
  <si>
    <t>END CLAMP, UNIRAC, SOLARMOUNT-I, "J", 1.470", 002009C</t>
  </si>
  <si>
    <t>STANDOFF, UNIRAC, SOLARMOUNT-I, ALUMINUM, 3", W/ONE-FLANGE CONNECTION, 005013C</t>
  </si>
  <si>
    <t>STANDOFF, UNIRAC, SOLARMOUNT-I, ALUMINUM, 4", W/ONE-FLANGE CONNECTION, 005014C</t>
  </si>
  <si>
    <t>FLASHING, SMART MOUNT, BASE, 12” x 18”, BLK</t>
  </si>
  <si>
    <t>INVERTER, SPR-2500M-IT-RFB with RS485</t>
  </si>
  <si>
    <t>INVERTER, SMA, SB2500-IT-RFB with RS485</t>
  </si>
  <si>
    <t>Mounting Item, SOLRIF, Mage Flex Aluminium, Connecting sheet bottom, width 280 mm, black</t>
  </si>
  <si>
    <t>Mounting Item, SOLRIF, Sealing Tape for Lower PV-installation Closure 1000 x 30 x 40 mm</t>
  </si>
  <si>
    <t>Mounting Item, SOLRIF, Protective Profile Black, Length 280 mm for SOLRIF-Flashings Top</t>
  </si>
  <si>
    <t>INVERTER, SPR-2500M-BE, RS485, 10-YEAR WARRANTY</t>
  </si>
  <si>
    <t>INVERTER, SPR-2500M-BE-RFB, RS485, 10-YEAR WARRANTY</t>
  </si>
  <si>
    <t>INVERTER, SPR-3300M-BE, RS485, 10-YEAR WARRANTY</t>
  </si>
  <si>
    <t>INVERTER, SPR-3300M-BE-RFB, RS485, 10-YEAR WARRANTY</t>
  </si>
  <si>
    <t>INVERTER, SPR-3800M-BE, RS485, 10-YEAR WARRANTY</t>
  </si>
  <si>
    <t>INVERTER, SPR-3800M-BE-RFB, RS485, 10-YEAR WARRANTY</t>
  </si>
  <si>
    <t>INVERTER, SPR-5000M-BE, RS485, 10-YEAR WARRANTY</t>
  </si>
  <si>
    <t>INVERTER, SPR-5000M-BE-RFB, RS485, 10-YEAR WARRANTY</t>
  </si>
  <si>
    <t>INVERTER, SPR-6000M-BE, RS485, 10-YEAR WARRANTY</t>
  </si>
  <si>
    <t>INVERTER, SPR-6000M-BE-RFB, RS485, 10-YEAR WARRANTY</t>
  </si>
  <si>
    <t>INVERTER, SPR-7000M-BE, RS485, 10-YEAR WARRANTY</t>
  </si>
  <si>
    <t>INVERTER, SPR-7000M-BE-RFB, RS485, 10-YEAR WARRANTY</t>
  </si>
  <si>
    <t>Mounting Item, SOLRIF, Mounting Clamp, Top Long for plain flashings, top stainless spring steel</t>
  </si>
  <si>
    <t>Mounting Item, SOLRIF, Mounting Clamp Profile, stainless spring steel, black</t>
  </si>
  <si>
    <t>Mounting Item, SOLRIF, Mounting Clamp Glass, stainless spring steel, black</t>
  </si>
  <si>
    <t>Mounting Item, SOLRIF, Pan-Head Screw, 4.5 x 35 mm, hexagon socket T20, INOX A2, BN 20150</t>
  </si>
  <si>
    <t>Mounting Item, SOLRIF, Flashing Profile, Right</t>
  </si>
  <si>
    <t>Mounting Item, SOLRIF, Flashing Profile, Left</t>
  </si>
  <si>
    <t>Mounting Item, SOLRIF, Aluminium Flashing Ridge, Left, Laminate width 1552 mm, RAL 9005</t>
  </si>
  <si>
    <t>Mounting Item, SOLRIF, Aluminium Flashing Ridge, Right, Laminate width 1552 mm, RAL 9005</t>
  </si>
  <si>
    <t>Mounting Item, SOLRIF, Aluminium Flashing Ridge, Middle, Laminate width 1552 mm, RAL 9005</t>
  </si>
  <si>
    <t>Mounting Item, SOLRIF, Aluminium Flashing Side, Top Left, Universal, RAL 9005</t>
  </si>
  <si>
    <t>Mounting Item, SOLRIF, Aluminium Flashing Side, Top Right, Universal, RAL 9005</t>
  </si>
  <si>
    <t>Mounting Item, SOLRIF, Aluminium Flashing Side, Right, Laminate height 792-797mm, RAL 9005</t>
  </si>
  <si>
    <t>Mounting Item, SOLRIF, Aluminium Flashing Side, Left, Laminate height 792-797mm, RAL 9005</t>
  </si>
  <si>
    <t>Mounting Item, SOLRIF, Fixing Clamp for Flashing</t>
  </si>
  <si>
    <t>Mounting Item, SOLRIF, Clout Nail DIN1160 2,5x25</t>
  </si>
  <si>
    <t>ADHESIVE, SEALANT, RTV 832, CARTRIDGE</t>
  </si>
  <si>
    <t>Monitoring System, SMA, Sunny WebBox, RS485 Interface, Ethernet, 10 yr warranty, Language Italian, Refurbished</t>
  </si>
  <si>
    <t>PVM, SPR-327NE-WHT-D CAR-1</t>
  </si>
  <si>
    <t>PVM, UNFR, SPR-320EL-WHT-D CAR</t>
  </si>
  <si>
    <t>PVM, SPR-320E-WHT-D CAR N</t>
  </si>
  <si>
    <t>COMM ENCLOSURE, AMTEC, SANYO REMEDIATION</t>
  </si>
  <si>
    <t>KIT, MOUNTING ITEM, SOLARMOUNT-I SPR-SM-I, CLEAR</t>
  </si>
  <si>
    <t>INVERTER, SANTERNO, SUNWAY M PLUS 3600E, POS GND, FR</t>
  </si>
  <si>
    <t>INVERTER, SATCON, PVS, 50 kW 240VAC 3-PH; POS GND; 5-YR WARRANTY (PVS-50-240VAC-P)</t>
  </si>
  <si>
    <t>MONITORING SYSTEM, COMMERCIAL, 1-YEAR DATA SUBSCRIPTION, SMS 2.0</t>
  </si>
  <si>
    <t>MONITORING SYSTEM, COMMERCIAL, 5-YEAR DATA SUBSCRIPTION, SMS 2.0</t>
  </si>
  <si>
    <t>MONITORING SYSTEM, COMMERCIAL, 10-YEAR DATA SUBSCRIPTION, SMS 2.0</t>
  </si>
  <si>
    <t>PVM, SPR-320E WHT D CAR-1</t>
  </si>
  <si>
    <t>METER, SOLARBRIDGE, POWER MANAGER, 120V, 60HZ, NEMA-4X, SPM-101-SPR</t>
  </si>
  <si>
    <t>TRANSITION CABLE, SOLARBRIDGE, 10', W/END CAP, SBT-TC-10</t>
  </si>
  <si>
    <t>TRANSITION CABLE, SOLARBRIDGE, 5', W/END CAP, SBT-TC-5</t>
  </si>
  <si>
    <t>EXTENSION CABLE, SOLARBRIDGE, 5', W/FEMALE CONNECTOR, SBT-EC-5</t>
  </si>
  <si>
    <t>INVERTER, SPR-3501F-1-EU-RFB</t>
  </si>
  <si>
    <t>INVERTER, SPR-4001F-1-EU-RFB</t>
  </si>
  <si>
    <t>INVERTER, SPR-6501F-2-EU-RFB</t>
  </si>
  <si>
    <t>INVERTER, SPR-8001F-2-EU-RFB</t>
  </si>
  <si>
    <t>INVERTER, SPR-10001F-3-EU-RFB</t>
  </si>
  <si>
    <t>INVERTER, SPR-12001F-3-EU-RFB</t>
  </si>
  <si>
    <t>PVM, SPR-315NE-WHT-D</t>
  </si>
  <si>
    <t>PVM, SPR-305NE-WHT-D</t>
  </si>
  <si>
    <t>PVM, SPR-235NE-WHT-D</t>
  </si>
  <si>
    <t>PVM, SPR-225NE-WHT-D</t>
  </si>
  <si>
    <t>PVM, SPR-230NE-BLK-D</t>
  </si>
  <si>
    <t>PVM, SPR-225NE-BLK-D</t>
  </si>
  <si>
    <t>PVM, SPR-315NE-WHT-D C</t>
  </si>
  <si>
    <t>PVM, SPR-305NE-WHT-D C</t>
  </si>
  <si>
    <t>PVM, UNFR, SPR-315NEL-WHT-D C</t>
  </si>
  <si>
    <t>PVM, UNFR, SPR-305NEL-WHT-D C</t>
  </si>
  <si>
    <t>ASSY, MODULE, T5, 320EL-WHT-D CAR (1507-352)</t>
  </si>
  <si>
    <t>ASSY, MODULE, T5, 308EL-WHT-D (1507-352)</t>
  </si>
  <si>
    <t>ASSY, TILE, PG, SPR-308EL-WHT-D (1507-177)</t>
  </si>
  <si>
    <t>PVM, SPR-290E-WHT-D C CC3 (NPC Module)</t>
  </si>
  <si>
    <t>SERVICE AGREEMENT, ENERGY ASSURANCE, 10-YEAR SINGLE PAYMENT PLAN</t>
  </si>
  <si>
    <t>SERVICE AGREEMENT, ENERGY ASSURANCE, 10-YEAR ANNUAL INSTALLMENT PLAN</t>
  </si>
  <si>
    <t>INVERTER, SPR-3000M-TL-1-EU, RS 485, 10-YR WARRANTY</t>
  </si>
  <si>
    <t>INVERTER, SPR-3000M-TL-1-EU-RFB, RS 485, 10-YR WARRANTY</t>
  </si>
  <si>
    <t>INVERTER, SPR-4000M-TL-1-EU, RS 485, 10-YR WARRANTY</t>
  </si>
  <si>
    <t>INVERTER, SPR-4000M-TL-1-EU-RFB, RS 485, 10-YR WARRANTY</t>
  </si>
  <si>
    <t>INVERTER, SPR-5000M-TL-1-EU, RS 485, 10-YR WARRANTY</t>
  </si>
  <si>
    <t>INVERTER, SPR-5000M-TL-1-EU-RFB, RS 485, 10-YR WARRANTY</t>
  </si>
  <si>
    <t>INVERTER, SPR-10000M-TL-3-EU, RS 485, 10-YR WARRANTY</t>
  </si>
  <si>
    <t>INVERTER, SPR-10000M-TL-3-EU-RFB, RS 485, 10-YR WARRANTY</t>
  </si>
  <si>
    <t>INVERTER, SPR-12000M-TL-3-EU, RS 485, 10-YR WARRANTY</t>
  </si>
  <si>
    <t>INVERTER, SPR-12000M-TL-3-EU-RFB, RS 485, 10-YR WARRANTY</t>
  </si>
  <si>
    <t>INVERTER, SPR-15000M-TL-3-EU, RS 485, 10-YR WARRANTY</t>
  </si>
  <si>
    <t>INVERTER, SPR-15000M-TL-3-EU-RFB, RS 485, 10-YR WARRANTY</t>
  </si>
  <si>
    <t>INVERTER, SPR-17000M-TL-3-EU, RS 485, 10-YR WARRANTY</t>
  </si>
  <si>
    <t>INVERTER, SPR-17000M-TL-3-EU-RFB, RS 485, 10-YR WARRANTY</t>
  </si>
  <si>
    <t>PVM, UNFR, SPR-305EL-WHT-D C-1</t>
  </si>
  <si>
    <t>INVERTER, KACO, SPR-2600K-TL-1, POWADOR 3200, RS485, 10-YEAR WARRANTY-EU</t>
  </si>
  <si>
    <t>INVERTER, KACO, SPR-2600K-TL-1-RFB, POWADOR 3200, RS485, 10-YEAR WARRANTY-EU</t>
  </si>
  <si>
    <t>INVERTER, KACO, SPR-3600K-TL-1, POWADOR 4400, RS485, 10-YEAR WARRANTY-EU</t>
  </si>
  <si>
    <t>INVERTER, KACO, SPR-3600K-TL-1-RFB, POWADOR 4400, RS485, 10-YEAR WARRANTY-EU</t>
  </si>
  <si>
    <t>INVERTER, KACO, SPR-4600K-TL-1, POWADOR 5500, RS485, 10-YEAR WARRANTY-EU</t>
  </si>
  <si>
    <t>INVERTER, KACO, SPR-4600K-TL-1-RFB, POWADOR 5500, RS485, 10-YEAR WARRANTY-EU</t>
  </si>
  <si>
    <t>INVERTER, KACO, SPR-5500K-TL-1, POWADOR 6600, RS485, 10-YEAR WARRANTY-EU</t>
  </si>
  <si>
    <t>INVERTER, KACO, SPR-5500K-TL-1-RFB, POWADOR 6600, RS485, 10-YEAR WARRANTY-EU</t>
  </si>
  <si>
    <t>KIT, MOUNTING ITEM, ALUMINUM FLASHING 12"X12", MILL FINISHED, QMSC A-12</t>
  </si>
  <si>
    <t>KIT, MOUNTING ITEM, ALUMINUM FLASHING 12"X12", BRONZE ANODIZED, QMSC B-12</t>
  </si>
  <si>
    <t>KIT, REPLACEMENT HARDWARE SET, 6" HANGER BOLT, QMHS-6 12</t>
  </si>
  <si>
    <t>KIT, REPLACEMENT HARDWARE SET, 8" HANGER BOLT, QMHS-8 12</t>
  </si>
  <si>
    <t>FLASHING, PENETRATION, SMART MOUNT, TWO-HOLE</t>
  </si>
  <si>
    <t>PLANNING BOM HEADER - SOLRIF ACCESSORY ITEMS-EU, 225W, 1MW (Metric)</t>
  </si>
  <si>
    <t>INVERTER, SANTERNO, SUNWAY M PLUS 3600E-RFB, POS GND, FR</t>
  </si>
  <si>
    <t>EXTENSION CABLE, SOLARBRIDGE, 10', W/FEMALE CONNECTOR, SBT-EC-10</t>
  </si>
  <si>
    <t>Cancellation Fee</t>
  </si>
  <si>
    <t>PVM, SPR-318E-WHT-D AR-A US</t>
  </si>
  <si>
    <t>INVERTER ACCESSORY, SMA COMMUNICATION CARD, RS485 INTERFACE, NA</t>
  </si>
  <si>
    <t>100% Down Payment</t>
  </si>
  <si>
    <t>Anzahlung</t>
  </si>
  <si>
    <t>Pre-Payment</t>
  </si>
  <si>
    <t>Smart Pack Model-SPNA</t>
  </si>
  <si>
    <t>Inverter Brand-RVAR-Option Class-NA</t>
  </si>
  <si>
    <t>Monitoring System-Smart Pack-Option Class-SPNA</t>
  </si>
  <si>
    <t>Mounting System-Smart Pack with Non-Smart Mount Racking-Option Class-SPNA</t>
  </si>
  <si>
    <t>Mounting System-Smart Pack with Smart Mount Racking-Option Class-SPNA</t>
  </si>
  <si>
    <t>SPR-225-BLK-Smart Pack-Option Class-SPNA</t>
  </si>
  <si>
    <t>SPR-230-WHT-Smart Pack-Option Class-SPNA</t>
  </si>
  <si>
    <t>SPR-238-WHT-Smart Pack-Option Class-SPNA</t>
  </si>
  <si>
    <t>SPR-240-WHT-Smart Pack-Option Class-SPNA</t>
  </si>
  <si>
    <t>SPR-318-WHT-Smart Pack-Option Class-SPNA</t>
  </si>
  <si>
    <t>SPR-320-WHT-Smart Pack-Option Class-SPNA</t>
  </si>
  <si>
    <t>SMA-Inverter-RVAR-Option Class-NA</t>
  </si>
  <si>
    <t>Fronius-Inverter-RVAR-Option Class-NA</t>
  </si>
  <si>
    <t>PV Watts and Color-Smart Pack-Option Class-SPNA</t>
  </si>
  <si>
    <t>SPR-318-WHT-T5-Option Class-SPNA</t>
  </si>
  <si>
    <t>SPR-320-WHT-T5-Option Class-SPNA</t>
  </si>
  <si>
    <t>Inverter Brand-CVAR-Option Class-SPNA</t>
  </si>
  <si>
    <t>Fronius-Inverter-CVAR-Option Class-SPNA</t>
  </si>
  <si>
    <t>SMA-Inverter-CVAR-Option Class-SPNA</t>
  </si>
  <si>
    <t>Satcon-Inverter-CVAR-Option Class-SPNA</t>
  </si>
  <si>
    <t>Satcon-Inverter-PVS, 100 kW-Option Class-SPNA</t>
  </si>
  <si>
    <t>Satcon-Inverter-PVS, 1000 kW-Option Class-SPNA</t>
  </si>
  <si>
    <t>Satcon-Inverter-PVS, 135 kW-Option Class-SPNA</t>
  </si>
  <si>
    <t>Satcon-Inverter-PVS, 250 kW-Option Class-SPNA</t>
  </si>
  <si>
    <t>Satcon-Inverter-PVS, 30 kW-Option Class-SPNA</t>
  </si>
  <si>
    <t>Satcon-Inverter-PVS, 375 kW-Option Class-SPNA</t>
  </si>
  <si>
    <t>Satcon-Inverter-PVS, 50 kW-Option Class-SPNA</t>
  </si>
  <si>
    <t>Satcon-Inverter-PVS, 500 kW-Option Class-SPNA</t>
  </si>
  <si>
    <t>Satcon-Inverter-PVS, 75 kW-Option Class-SPNA</t>
  </si>
  <si>
    <t>PV Watts and Color-Power Guard-Option Class-SPNA</t>
  </si>
  <si>
    <t>SPR-305-WHT-Power Guard-Option Class-SPNA</t>
  </si>
  <si>
    <t>SPR-308-WHT-Power Guard-Option Class-SPNA</t>
  </si>
  <si>
    <t>Mounting System-Power Guard-Option Class-SPNA</t>
  </si>
  <si>
    <t>Mounting System-T10-Option Class-SPNA</t>
  </si>
  <si>
    <t>Mounting System-T5-Option Class-SPNA</t>
  </si>
  <si>
    <t>Power Guard Model -SPNA</t>
  </si>
  <si>
    <t>T5 Model -SPNA</t>
  </si>
  <si>
    <t>T10 Model -SPNA</t>
  </si>
  <si>
    <t>Smart Pack Model -SPCN</t>
  </si>
  <si>
    <t>Smart Pack Model-SPIT</t>
  </si>
  <si>
    <t>T5 Model -SPIT</t>
  </si>
  <si>
    <t>T10 Model -SPIT</t>
  </si>
  <si>
    <t>Smart Pack Model-SPES</t>
  </si>
  <si>
    <t>T5 Model -SPES</t>
  </si>
  <si>
    <t>T10 Model -SPES</t>
  </si>
  <si>
    <t>Smart Pack Model -SPDE</t>
  </si>
  <si>
    <t>T5 Model -SPDE</t>
  </si>
  <si>
    <t>T10 Model -SPDE</t>
  </si>
  <si>
    <t>T5 Model -SPFR</t>
  </si>
  <si>
    <t>Smart Pack NA Model-SPSW</t>
  </si>
  <si>
    <t>PV Watts and Color-T10-Option Class-SPNA</t>
  </si>
  <si>
    <t>SPR-230-WHT-T10-Option Class-SPNA</t>
  </si>
  <si>
    <t>SPR-238-WHT-T10-Option Class-SPNA</t>
  </si>
  <si>
    <t>SPR-240-WHT-T10-Option Class-SPNA</t>
  </si>
  <si>
    <t>SPR-305-WHT-T10-Option Class-SPNA</t>
  </si>
  <si>
    <t>SPR-308-WHT-T10-Option Class-SPNA</t>
  </si>
  <si>
    <t>SPR-318-WHT-T10-Option Class-SPNA</t>
  </si>
  <si>
    <t>SPR-320-WHT-T10-Option Class-SPNA</t>
  </si>
  <si>
    <t>SER-228P-T10-Option Class-SPNA</t>
  </si>
  <si>
    <t>PV Watts and Color-T5-Option Class-SPNA</t>
  </si>
  <si>
    <t>SPR-305-WHT-T5-Option Class-SPNA</t>
  </si>
  <si>
    <t>SPR-308-WHT-T5-Option Class-SPNA</t>
  </si>
  <si>
    <t>Mounting System-T5-Option Class-EU</t>
  </si>
  <si>
    <t>PV Watts and Color-T5-Option Class-SPFR</t>
  </si>
  <si>
    <t>SPR-305-WHT-T5-Option Class-SPFR</t>
  </si>
  <si>
    <t>PV Watts and Color-Smart Pack-Option Class-SPIT</t>
  </si>
  <si>
    <t>SPR-225-BLK-Smart Pack-Option Class-SPIT</t>
  </si>
  <si>
    <t>SPR-230-WHT-Smart Pack-Option Class-SPIT</t>
  </si>
  <si>
    <t>SPR-238-WHT-Smart Pack-Option Class-SPIT</t>
  </si>
  <si>
    <t>SPR-300-BLK-Smart Pack-Option Class-SPIT</t>
  </si>
  <si>
    <t>SPR-300-WHT-Smart Pack-Option Class-SPIT</t>
  </si>
  <si>
    <t>SPR-305-WHT-Smart Pack-Option Class-SPIT</t>
  </si>
  <si>
    <t>SPR-318-WHT-Smart Pack-Option Class-SPIT</t>
  </si>
  <si>
    <t>PV Watts and Color-T10-Option Class-SPIT</t>
  </si>
  <si>
    <t>SPR-230-WHT-T10-Option Class-SPIT</t>
  </si>
  <si>
    <t>SPR-238-WHT-T10-Option Class-SPIT</t>
  </si>
  <si>
    <t>SPR-300-WHT-T10-Option Class-SPIT</t>
  </si>
  <si>
    <t>SPR-318-WHT-T10-Option Class-SPIT</t>
  </si>
  <si>
    <t>PV Watts and Color-T5-Option Class-SPIT</t>
  </si>
  <si>
    <t>SPR-305-WHT-T5-Option Class-SPIT</t>
  </si>
  <si>
    <t>Inverter Brand-Option Class-SPIT</t>
  </si>
  <si>
    <t>SMA-Inverter-Option Class-SPIT</t>
  </si>
  <si>
    <t>PV Watts and Color-Smart Pack-Option Class-SPSW</t>
  </si>
  <si>
    <t>SPR-225-BLK-Smart Pack-Option Class-SPSW</t>
  </si>
  <si>
    <t>SPR-230-WHT-Smart Pack-Option Class-SPSW</t>
  </si>
  <si>
    <t>SPR-318-WHT-Smart Pack-Option Class-SPSW</t>
  </si>
  <si>
    <t>Inverter Brand-RVAR-Option Class-SPSW</t>
  </si>
  <si>
    <t>SMA-Inverter-RVAR-Option Class-SPSW</t>
  </si>
  <si>
    <t>Mounting System-Smart Pack with Non-Smart Mount Racking-Option Class-SPSW</t>
  </si>
  <si>
    <t>Mounting System-Smart Pack with Smart Mount Racking-Option Class-SPSW</t>
  </si>
  <si>
    <t>E-13-228P-KIT-2.5kw-m</t>
  </si>
  <si>
    <t>SPR-225-BLK-Smart Pack-Option Class-SPCN</t>
  </si>
  <si>
    <t>SPR-230-WHT-Smart Pack-Option Class-SPCN</t>
  </si>
  <si>
    <t>SPR-318-WHT-Smart Pack-Option Class-SPCN</t>
  </si>
  <si>
    <t>Inverter Brand-RVAR-Option Class-SPCN</t>
  </si>
  <si>
    <t>SMA-Inverter-RVAR-Option Class-SPCN</t>
  </si>
  <si>
    <t>Mounting System-Smart Pack with Non-Smart Mount Racking-Option Class-SPCN</t>
  </si>
  <si>
    <t>Mounting System-Smart Pack with Smart Mount Racking-Option Class-SPCN</t>
  </si>
  <si>
    <t>PV Watts and Color-Smart Pack-Option Class-SPDE</t>
  </si>
  <si>
    <t>SPR-238-WHT-Smart Pack-Option Class-SPDE</t>
  </si>
  <si>
    <t>SPR-300-WHT-Smart Pack-Option Class-SPDE</t>
  </si>
  <si>
    <t>SPR-318-WHT-Smart Pack-Option Class-SPDE</t>
  </si>
  <si>
    <t>PV Watts and Color-T10-Option Class-SPDE</t>
  </si>
  <si>
    <t>SPR-225-BLK-T10-Option Class-SPDE</t>
  </si>
  <si>
    <t>SPR-230-WHT-T10-Option Class-SPDE</t>
  </si>
  <si>
    <t>SPR-238-WHT-T10-Option Class-SPDE</t>
  </si>
  <si>
    <t>SPR-305-WHT-T10-Option Class-SPDE</t>
  </si>
  <si>
    <t>SPR-318-WHT-T10-Option Class-SPDE</t>
  </si>
  <si>
    <t>SER-228P-T10-Option Class-SPDE</t>
  </si>
  <si>
    <t>SER-235P-T10-Option Class-SPDE</t>
  </si>
  <si>
    <t>PV Watts and Color-T5-Option Class-SPDE</t>
  </si>
  <si>
    <t>SPR-305-WHT-T5-Option Class-SPDE</t>
  </si>
  <si>
    <t>Inverter Brand-Option Class-SPDE</t>
  </si>
  <si>
    <t>SMA-Inverter-Option Class-SPDE</t>
  </si>
  <si>
    <t>KACO-Inverter-Option Class-SPDE</t>
  </si>
  <si>
    <t>Inverter Brand-Option Class-SPES</t>
  </si>
  <si>
    <t>PV Watts and Color-Smart Pack-Option Class-SPES</t>
  </si>
  <si>
    <t>SPR-210-WHT-Smart Pack-Option Class-SPES</t>
  </si>
  <si>
    <t>SPR-300-WHT-Smart Pack-Option Class-SPES</t>
  </si>
  <si>
    <t>PV Watts and Color-T10-Option Class-SPES</t>
  </si>
  <si>
    <t>SPR-210-WHT-T10-Option Class-SPES</t>
  </si>
  <si>
    <t>SPR-300-WHT-T10-Option Class-SPES</t>
  </si>
  <si>
    <t>PV Watts and Color-T5-Option Class-SPES</t>
  </si>
  <si>
    <t>SPR-305-WHT-T5-Option Class-SPES</t>
  </si>
  <si>
    <t>SMA-Inverter-Option Class-SPES</t>
  </si>
  <si>
    <t>Fronius-Inverter-Option Class-EU</t>
  </si>
  <si>
    <t>Mounting System-Smart Pack-Option Class-EU</t>
  </si>
  <si>
    <t>Mounting System-T10-Option Class-EU</t>
  </si>
  <si>
    <t>E-13-228P-KIT-8.9kw-m</t>
  </si>
  <si>
    <t>E-13-228P-KIT-8.2kw-m</t>
  </si>
  <si>
    <t>E-13-228P-KIT-7.5kw-m</t>
  </si>
  <si>
    <t>E-13-228P-KIT-5.0kw-m</t>
  </si>
  <si>
    <t>E-13-228P-KIT-5.4kw-m</t>
  </si>
  <si>
    <t>E-13-228P-KIT-5.9kw-m</t>
  </si>
  <si>
    <t>E-13-228P-KIT-6.4kw-m</t>
  </si>
  <si>
    <t>INVERTER, SATCON, POWERGATE PLUS, 250KW, 208V,60HZ, NEG GND, GFI, PVS-250-4UL, STD WARRANTY</t>
  </si>
  <si>
    <t>INVERTER, SATCON, POWERGATE PLUS, 75KW, 208V,60HZ, NEG GND, GFI, PVS-75-4UL, STD WARRANTY</t>
  </si>
  <si>
    <t>INVERTER, SATCON, POWERGATE PLUS, 100KW, 208V, 60HZ, NEG GND, GFI, PVS-100-4UL, STD WARRANTY</t>
  </si>
  <si>
    <t>PV Watts and Color-Smart Pack-Option Class-SPCN</t>
  </si>
  <si>
    <t>SPR-210-WHT-Smart Pack-Option Class-SPIT</t>
  </si>
  <si>
    <t>ONE-FLANGE FOOT, UNIRAC, SOLARMOUNT-I, CONNECTION, 004012M</t>
  </si>
  <si>
    <t>FLASHING, FLAT, UNIRAC, SOLARMOUNT-I, 8" X 12", DARK, W/SQR PLATE, 90415D</t>
  </si>
  <si>
    <t>Connector-Smart Pack-Option Class-EU</t>
  </si>
  <si>
    <t>E16-210W-KIT-2.9kw-FTL</t>
  </si>
  <si>
    <t>SPR-215-WHT-Smart Pack-Option Class-SPNA</t>
  </si>
  <si>
    <t>Santerno-Inverter-Option Class-SPIT</t>
  </si>
  <si>
    <t>Promotional Service Credit Solar Mount-I</t>
  </si>
  <si>
    <t>PVM, SPR-245NE-WHT-D AR-A</t>
  </si>
  <si>
    <t>PVM, UNFR, SPR-245NEL-WHT-D AR-A1</t>
  </si>
  <si>
    <t>REDUCER, LEFT, 18" TO 12", COOPER B-LINE, 4A-18-LR12 W/SS6</t>
  </si>
  <si>
    <t>REDUCER, RIGHT, 18" TO 12", COOPER B-LINE, 4A-18-RR12 W/SS6</t>
  </si>
  <si>
    <t>COVER, REDUCER,  LEFT, 18" TO 12", COOPER B-LINE, 807A40-18-LR12 W/SS6</t>
  </si>
  <si>
    <t>COVER, REDUCER,  RIGHT, 18" TO 12", COOPER B-LINE, 807A40-18-RR12 W/SS6</t>
  </si>
  <si>
    <t>METER, MODBUS, WATTNODE, US, 120VAC</t>
  </si>
  <si>
    <t>PVM, SPR-327NE-WHT-D AR-A US</t>
  </si>
  <si>
    <t>PVM, SPR-320E-WHT-D AR-A US</t>
  </si>
  <si>
    <t>PVM, SPR-308E-WHT-D US</t>
  </si>
  <si>
    <t>PVM, SPR-327NE-WHT-D CAR CC</t>
  </si>
  <si>
    <t>Kit, SOLRIF, SPR-225E-BLK (2x6)</t>
  </si>
  <si>
    <t>Kit, SOLRIF, SPR-225E-BLK (3x4)</t>
  </si>
  <si>
    <t>Kit, SOLRIF, SPR-225E-BLK (4x3)</t>
  </si>
  <si>
    <t>Kit, SOLRIF, SPR-230E-WHT (2x6)</t>
  </si>
  <si>
    <t>Kit, SOLRIF, SPR-230E-WHT (3x4)</t>
  </si>
  <si>
    <t>Kit, SOLRIF, SPR-230E-WHT (4x3)</t>
  </si>
  <si>
    <t>CVAR DESIGN SERVICE PACKAGE, BALLASTED SYSTEMS (PG, T5, T10)</t>
  </si>
  <si>
    <t>CVAR DESIGN ONSITE SUPPORT SERVICE, BALLASTED SYSTEMS (PG, T5, T10)</t>
  </si>
  <si>
    <t>PVM, UNFR, SOLRIF-SPR-238E-WHT-D AR-A1 L</t>
  </si>
  <si>
    <t>KIT, GROUNDING, SOLRIF XL, 1.8M STRANDED COPPER WIRE 6 SQMM, CABLE SHOE, SELF-TAPPING HEX SCREW 4.2MM x 13MM</t>
  </si>
  <si>
    <t>MOUNTING ITEM, SOLRIF, MOUNTING CLAMP, TOP LONG FOR PLAIN FLASHING, TOP STAINLESS SPRING STEEL, SEA WATER RESISTANT, UNCOATED</t>
  </si>
  <si>
    <t>MOUNTING ITEM, SOLRIF, MOUNTING CLAMP PROFILE, STAINLESS SPRING STEEL, SEA WATER RESISTANT, UNCOATED</t>
  </si>
  <si>
    <t>MOUNTING ITEM, SOLRIF, MOUNTING CLAMP GLASS, STAINLESS SPRING STEEL, SEA WATER RESISTANT, UNCOATED</t>
  </si>
  <si>
    <t>PVM, SPR-435NE-WHT-D CAR</t>
  </si>
  <si>
    <t>PVM, SPR-415E-WHT-D C (non AR, short cable, new frame holes)</t>
  </si>
  <si>
    <t>PVM, SPR-390E-WHT-D C (non AR, short cable, new frame holes)</t>
  </si>
  <si>
    <t>PVM, SPR-425E-WHT-D CAR US</t>
  </si>
  <si>
    <t>PVM, SPR-327NE-WHT-D CAR US</t>
  </si>
  <si>
    <t>PVM, SPR-435NE-WHT-D CAR US</t>
  </si>
  <si>
    <t>PVM, SPR-72C-SHOWROOM-BLK-E</t>
  </si>
  <si>
    <t>PVM, SPR-72C-SHOWROOM-WHT-E</t>
  </si>
  <si>
    <t>PVM, SPR-72C-SHOWROOM-WHT-E AR</t>
  </si>
  <si>
    <t>PVM, SPR-96C-SHOWROOM-WHT-E</t>
  </si>
  <si>
    <t>PVM, SPR-96C-SHOWROOM-WHT-E AR</t>
  </si>
  <si>
    <t>PVM, SPR-96C-SHOWROOM-BLK-E</t>
  </si>
  <si>
    <t>PVM, SPR-315E-WHT-D C CC3</t>
  </si>
  <si>
    <t>PVM, SPR-327NE-WHT-D AR CC</t>
  </si>
  <si>
    <t>PVM, SPR-327NE-WHT-D CAR-1 CC</t>
  </si>
  <si>
    <t>PVM, SPR-320E-WHT-D CAR N CC</t>
  </si>
  <si>
    <t>PVM, UNFR, SPR-327NEL-WHT-D CAR CC</t>
  </si>
  <si>
    <t>PVM, UNFR, SPR-318EL-WHT-D CAR-A N CC</t>
  </si>
  <si>
    <t>PVM, SPR-318E-WHT-D CAR-A N CC</t>
  </si>
  <si>
    <t>PVM, SPR-315NE-WHT-D C CC</t>
  </si>
  <si>
    <t>PVM, UNFR, SPR-315NEL-WHT-D C CC</t>
  </si>
  <si>
    <t>PVM, SPR-315NE-WHT-D AR CC</t>
  </si>
  <si>
    <t>PVM, SPR-315NE-WHT-D CAR CC</t>
  </si>
  <si>
    <t>PVM, UNFR, SPR-315NEL-WHT-D CAR CC</t>
  </si>
  <si>
    <t>PVM, SPR-305NE-WHT-D CC</t>
  </si>
  <si>
    <t>PVM, SPR-305NE-WHT-D C CC</t>
  </si>
  <si>
    <t>PVM, UNFR, SPR-305NEL-WHT-D C CC</t>
  </si>
  <si>
    <t>PVM, UNFR, SPR-305EL-WHT-D CAR-A N CC</t>
  </si>
  <si>
    <t>PVM, SPR-305E-WHT-D CAR-A N CC</t>
  </si>
  <si>
    <t>PVM, SPR-300NE-BLK-D CC</t>
  </si>
  <si>
    <t>PVM, SPR-290NE-BLK-D CC</t>
  </si>
  <si>
    <t>PVM, SPR-245NE-WHT-D AR CC</t>
  </si>
  <si>
    <t>PVM, SPR-245NE-WHT-D AR-A CC</t>
  </si>
  <si>
    <t>PVM, UNFR, SPR-245NEL-WHT-D AR-1 CC</t>
  </si>
  <si>
    <t>PVM, UNFR, SPR-245NEL-WHT-D AR-A1 CC</t>
  </si>
  <si>
    <t>PVM, SPR-235NE-WHT-D CC</t>
  </si>
  <si>
    <t>PVM, SPR-235NE-WHT-D AR CC</t>
  </si>
  <si>
    <t>PVM, SPR-235NE-WHT-D AR-A CC</t>
  </si>
  <si>
    <t>PVM, SPR-240NE-WHT-J CC</t>
  </si>
  <si>
    <t>PVM, SPR-225NE-BLK-D CC</t>
  </si>
  <si>
    <t>PVM, SPR-225NE-WHT-D CC</t>
  </si>
  <si>
    <t>PVM, SPR-320E-WHT-D C B</t>
  </si>
  <si>
    <t>PVM, SPR-305E-WHT-D C B</t>
  </si>
  <si>
    <t>INVERTER, SPR-4600M-BE, RS485, 10-YEAR WARRANTY</t>
  </si>
  <si>
    <t>INVERTER, SPR-4600M-BE-RFB, RS485, 10-YEAR WARRANTY</t>
  </si>
  <si>
    <t>PVM, SPR-320E-WHT-D CAR B</t>
  </si>
  <si>
    <t>PVM, SPR-305E-WHT-D CAR B</t>
  </si>
  <si>
    <t>Kit, SOLRIF, SPR-238E-WHT (2x6)</t>
  </si>
  <si>
    <t>Kit, SOLRIF, SPR-238E-WHT (3x4)</t>
  </si>
  <si>
    <t>Kit, SOLRIF, SPR-238E-WHT (4x3)</t>
  </si>
  <si>
    <t>Rebate for SPRf Inverters</t>
  </si>
  <si>
    <t>SERVICE CREDIT, CVAR Design Service Package</t>
  </si>
  <si>
    <t>SERVICE CREDIT, CVAR Design Onsite Support</t>
  </si>
  <si>
    <t>CVAR SolarMount-I Model-SPNA</t>
  </si>
  <si>
    <t>PV Watts and Color-SMI-Option Class-SPNA</t>
  </si>
  <si>
    <t>SER-228P-SMI-Option Class-SPNA</t>
  </si>
  <si>
    <t>SER-235P-SMI-Option Class-SPNA</t>
  </si>
  <si>
    <t>SPR-308-WHT-SMI-Option Class-SPNA</t>
  </si>
  <si>
    <t>SPR-320-WHT-SMI-Option Class-SPNA</t>
  </si>
  <si>
    <t>Mounting System-SMI-Option Class-SPNA</t>
  </si>
  <si>
    <t>Test Part for Item Master creation</t>
  </si>
  <si>
    <t>KIT, GROUNDING, SOLRIF XL, 1.8M STRANDED COPPER WIRE 4 SQMM, CABLE SHOE, SELF-TAPPING HEX SCREW 4.2MM x 13MM</t>
  </si>
  <si>
    <t>MONITORING KIT, PLUGLINK 9650, ASOKA, W/ETHERNET CABLE, SMS</t>
  </si>
  <si>
    <t>MONITORING KIT, MODBUS, WATTNODE, SMS</t>
  </si>
  <si>
    <t>MOUNTING ITEM, UNIRAC, SM GROUND CLIP, SS, UGC-1</t>
  </si>
  <si>
    <t>MOUNTING ITEM, UNIRAC, SMI GROUND CLIP, SS, UGC-2</t>
  </si>
  <si>
    <t>Laminate Foam Spacer, Packaging AR, 72-Cell</t>
  </si>
  <si>
    <t>PVM, SPR-240E-WHT-U ACPV</t>
  </si>
  <si>
    <t>PVM, SPR-225E-BLK-U ACPV</t>
  </si>
  <si>
    <t>PVM, SPR-333NE-WHT-D AR +5/-0%</t>
  </si>
  <si>
    <t>PVM, SPR-327NE-WHT-D AR +5/-0%</t>
  </si>
  <si>
    <t>PVM, SPR-320NE-WHT-D AR +5/-0%</t>
  </si>
  <si>
    <t>PVM, SPR-240NE-WHT-D AR +5/-0%</t>
  </si>
  <si>
    <t>PVM, SPR-225NE-BLK-D +5/-0%</t>
  </si>
  <si>
    <t>ACPV Frame Set, 3.2mm, 72-cell module, black class I, wo stud holes, PA</t>
  </si>
  <si>
    <t>Screw, ACPV, Frame to MI, 8-32 x 3/8"</t>
  </si>
  <si>
    <t>Screw, ACPV, Frame to Knuckle Bracket, 8-16 x 3/8"</t>
  </si>
  <si>
    <t>Screw, ACPV, Knuckle to Knuckle Bracket, 8-16 x 1.5"</t>
  </si>
  <si>
    <t>AC Cable Bracket, SolarBridge</t>
  </si>
  <si>
    <t>MOUNTING ITEM, UNIRAC, GROUNDING CLIP, SS, WEEB 9.5</t>
  </si>
  <si>
    <t>DESCRIPTION</t>
  </si>
  <si>
    <t>QUANTITY</t>
  </si>
  <si>
    <t>COMMENTS</t>
  </si>
  <si>
    <t>Origin_Org</t>
  </si>
  <si>
    <t>Origin_WH_Name</t>
  </si>
  <si>
    <t>Origin_AddressLine1</t>
  </si>
  <si>
    <t>Origin_AddressLine2</t>
  </si>
  <si>
    <t>Origin_WH_Contact</t>
  </si>
  <si>
    <t>Origin_WH_Phone</t>
  </si>
  <si>
    <t>Origin_WH_Email</t>
  </si>
  <si>
    <t>Destination_Org</t>
  </si>
  <si>
    <t>Destination_WH_Name</t>
  </si>
  <si>
    <t>Destination_AddressLine1</t>
  </si>
  <si>
    <t>Destination_AddressLine2</t>
  </si>
  <si>
    <t>Destination_WH_Contact</t>
  </si>
  <si>
    <t>Destination_WH_Phone</t>
  </si>
  <si>
    <t>Destination_WH_Email</t>
  </si>
  <si>
    <t>Shipment_Method</t>
  </si>
  <si>
    <t>Pickup_Date</t>
  </si>
  <si>
    <t>Delivery_Date</t>
  </si>
  <si>
    <t>Item_Number</t>
  </si>
  <si>
    <t>Part_Number</t>
  </si>
  <si>
    <t>Quantity</t>
  </si>
  <si>
    <t>Comments_Items</t>
  </si>
  <si>
    <t>777 Walker's Line</t>
  </si>
  <si>
    <t>Satcon Technology</t>
  </si>
  <si>
    <t>Burlington, ON L7N 2G1</t>
  </si>
  <si>
    <t xml:space="preserve">Campbell Erin         </t>
  </si>
  <si>
    <t>Erin.Campbell@satcon.com</t>
  </si>
  <si>
    <t>835 Harrington Court</t>
  </si>
  <si>
    <t>Burlington, ON  L7N 3P3</t>
  </si>
  <si>
    <t>Karen Joncas</t>
  </si>
  <si>
    <t>905-639-4692 ex 6262</t>
  </si>
  <si>
    <t>Satcon Canada 1</t>
  </si>
  <si>
    <t>Satcon Canada 2</t>
  </si>
  <si>
    <t>Satcon USA</t>
  </si>
  <si>
    <t>2925 Bayview Drive</t>
  </si>
  <si>
    <t>Fremont CA, 94538</t>
  </si>
  <si>
    <t>Charles Ray/Andrew MacKenzie</t>
  </si>
  <si>
    <t>510-226-3800</t>
  </si>
  <si>
    <t>Charles.Ray@satcon.com</t>
  </si>
  <si>
    <t>Fronius</t>
  </si>
  <si>
    <t>Fronius USA LLC</t>
  </si>
  <si>
    <t>10421 Citation Drive</t>
  </si>
  <si>
    <t>Brighton, MI 48116</t>
  </si>
  <si>
    <t>Mahone Momete</t>
  </si>
  <si>
    <t>810-844-2771</t>
  </si>
  <si>
    <t>SMA</t>
  </si>
  <si>
    <t>SMA America</t>
  </si>
  <si>
    <t>4031 Alvis Court</t>
  </si>
  <si>
    <t>Rocklin, CA 95677</t>
  </si>
  <si>
    <t>Simon Avakian</t>
  </si>
  <si>
    <t>916-625-0870</t>
  </si>
  <si>
    <t>Other</t>
  </si>
  <si>
    <t>W10 Fremont</t>
  </si>
  <si>
    <t>W10 Fontana</t>
  </si>
  <si>
    <t>F01 Fremont</t>
  </si>
  <si>
    <t>F01 NJ</t>
  </si>
  <si>
    <t xml:space="preserve"> </t>
  </si>
  <si>
    <t>Date_Key</t>
  </si>
  <si>
    <t>U/M</t>
  </si>
  <si>
    <t>UNIT</t>
  </si>
  <si>
    <t>Origin Location:</t>
  </si>
  <si>
    <t>Destination Location:</t>
  </si>
  <si>
    <t>Instructions:</t>
  </si>
  <si>
    <t>Case Number:</t>
  </si>
  <si>
    <t>RMA Number:</t>
  </si>
  <si>
    <t>Description:</t>
  </si>
  <si>
    <t>Case_Number</t>
  </si>
  <si>
    <t>RMA_Number</t>
  </si>
  <si>
    <t>RMA_Description</t>
  </si>
  <si>
    <t>RMA_Instructions</t>
  </si>
  <si>
    <t xml:space="preserve">- Fill up the cells </t>
  </si>
  <si>
    <t xml:space="preserve">   marked in Yellow</t>
  </si>
  <si>
    <t>RMA REQUEST FORM</t>
  </si>
  <si>
    <t>NAL Syncreon - Hayward, CA Office</t>
  </si>
  <si>
    <t>3525 Arden Road, Suite A</t>
  </si>
  <si>
    <t>Hayward, CA 94545</t>
  </si>
  <si>
    <t>Walter Uloa</t>
  </si>
  <si>
    <t>(510)782-6519</t>
  </si>
  <si>
    <t>PVM, SPR-308E-WHT-D LE</t>
  </si>
  <si>
    <t>PVM, SPR-225E-BLK-D LE</t>
  </si>
  <si>
    <t>PVM, SPR-230E-WHT-D LE</t>
  </si>
  <si>
    <t>PVM, SPR-240E-WHT-D AR-A LE</t>
  </si>
  <si>
    <t>PVM, SPR-320E-WHT-D AR-A LE</t>
  </si>
  <si>
    <t>INVERTER, SINGLE PHASE, SPR-10000f-RFB, 10KW, 208/240/277 VAC, POS GND, W/ COMCARD, SMS, FUSES</t>
  </si>
  <si>
    <t>KIT, MOUNTING ITEM, SOLARMOUNT, SPR-SM-4 SM, DARK, 132”</t>
  </si>
  <si>
    <t>EA</t>
  </si>
  <si>
    <t>PVM, SPR-240E-WHT-D AR-A SH</t>
  </si>
  <si>
    <t>MONITORING ITEM, SP-ACC-SPRf, 10' COMM CABLE ACCESSORY KIT, SMS</t>
  </si>
  <si>
    <t>MONITORING ITEM, SP-ACC-Enc, ACCESSORY KIT, SMS</t>
  </si>
  <si>
    <t>MONITORING ITEM, SP-ACC-SPRm, RS232 ACCESSORY KIT, SMS</t>
  </si>
  <si>
    <t>MONITORING ITEM, SP-ACC-SPRm, 10' RS485 COMM CABLE ACCESSORY KIT, SMS</t>
  </si>
  <si>
    <t>KIT, MOUNTING ITEM, SOLARMOUNT, SPR-SM-4 SM, CLEAR, 132”</t>
  </si>
  <si>
    <t>KIT, MOUNTING ITEM, SOLARMOUNT-I, SPR-SMI-2.5, DARK, 132”</t>
  </si>
  <si>
    <t>KIT, MOUNTING ITEM, SOLARMOUNT-I, SPR-SMI-2.5, CLEAR, 132”</t>
  </si>
  <si>
    <t>PVM, SPR-320E-WHT-D CAR GS</t>
  </si>
  <si>
    <t>PVM,UNFR, SOLRIF-SPR-240NE-WHT-I AR-A L</t>
  </si>
  <si>
    <t>PVM,UNFR, SOLRIF-SPR-230NE-BLK-I L</t>
  </si>
  <si>
    <t>PVM,UNFR, SOLRIF-SPR-225NE-BLK-I L</t>
  </si>
  <si>
    <t>PVM, SPR-410NE-WHT-D CAR</t>
  </si>
  <si>
    <t>PVM, SPR-333NE-WHT-D AR EU +5/-0%</t>
  </si>
  <si>
    <t>PVM, SPR-327NE-WHT-D AR EU +5/-0%</t>
  </si>
  <si>
    <t>PVM, SPR-320NE-WHT-D AR EU +5/-0%</t>
  </si>
  <si>
    <t>PVM, SPR-318E-WHT-D AR-1 EU</t>
  </si>
  <si>
    <t>PVM, SPR-245NE-WHT-D AR-A EU +5%/-0%</t>
  </si>
  <si>
    <t>PVM, SPR-240NE-WHT-D AR-A EU +5%/-0%</t>
  </si>
  <si>
    <t>MONITORING KIT, WIDE TEMP POWER LINE COMM DEVICE SET, W/ETHERNET CABLES, SMS, NA</t>
  </si>
  <si>
    <t>PVM, ENGG, SPR-318E-WHT-D AR-1</t>
  </si>
  <si>
    <t>PVM, SPR-305E-WHT-D AR-A US</t>
  </si>
  <si>
    <t>PVM, SPR-315NE-WHT-D AR-A US</t>
  </si>
  <si>
    <t>FOAM TAPE, SUPPORT, ACPV, SHORT</t>
  </si>
  <si>
    <t>FOAM TAPE, SUPPORT, ACPV, LONG</t>
  </si>
  <si>
    <t>PVM, SPR-327NE-WHT-D AR</t>
  </si>
  <si>
    <t>PVM, SPR-327NE-WHT-D AR-A +5/-0%</t>
  </si>
  <si>
    <t>PVM, SPR-320NE-WHT-D AR-A +5/-0%</t>
  </si>
  <si>
    <t>PVM, SPR-333NE-WHT-D AR-A +5 /-0%</t>
  </si>
  <si>
    <t>SCREW, ACPV, FRAME TO MI, M4 X 0.7MM, 8MM LENGTH</t>
  </si>
  <si>
    <t>SCREW, ACPV, FRAME TO KNUCKLE BRACKET, 10MM LENGTH</t>
  </si>
  <si>
    <t>SCREW, ACPV, KNUCKLE TO KNUCKLE BRACKET, 40MM LENGTH</t>
  </si>
  <si>
    <t>PVM, SPR-235NE-WHT-D AR +5/-0%</t>
  </si>
  <si>
    <t>PVM, SPR-235NE-WHT-D AR-A +5/-0%</t>
  </si>
  <si>
    <t>PVM, SPR-315NE-WHT-D AR-A</t>
  </si>
  <si>
    <t>PVM, SPR-235NE-WHT-D AR EU +5%/-0%</t>
  </si>
  <si>
    <t>ASSY, MODULE, T5, US, 315NEL-WHT-D C (1507-352)</t>
  </si>
  <si>
    <t>INVERTER, SPR-3000p-TL-1, RS485, 10-YEAR WARRANTY</t>
  </si>
  <si>
    <t>INVERTER, SPR-3000p-TL-1-RFB, RS485</t>
  </si>
  <si>
    <t>INVERTER, SPR-3600p-TL-1, RS485, 10-YEAR WARRANTY</t>
  </si>
  <si>
    <t>INVERTER, SPR-3600p-TL-1-RFB, RS485</t>
  </si>
  <si>
    <t>INVERTER, SPR-4200p-TL-1, RS485, 10-YEAR WARRANTY</t>
  </si>
  <si>
    <t>INVERTER, SPR-4200p-TL-1-RFB, RS485</t>
  </si>
  <si>
    <t>INVERTER, SPR-5000p-TL-1, RS485, 10-YEAR WARRANTY</t>
  </si>
  <si>
    <t>INVERTER, SPR-5000p-TL-1-RFB, RS485</t>
  </si>
  <si>
    <t>INVERTER, SPR-6000p-TL-1, RS485, 10-YEAR WARRANTY</t>
  </si>
  <si>
    <t>INVERTER, SPR-6000p-TL-1-RFB, RS485</t>
  </si>
  <si>
    <t>ASSY, MODULE, T5, 320EL-WHT-D CAR</t>
  </si>
  <si>
    <t>ASSY, MODULE, T5, 308EL-WHT-D</t>
  </si>
  <si>
    <t>ASSY, MODULE, T5, 327NEL-WHT-D CAR</t>
  </si>
  <si>
    <t>KIT, ACPV SUPERVISOR W/POWER LINE COMMUNICATION DEVICE SET</t>
  </si>
  <si>
    <t>PVM, SPR-225E-BLK-U ACPV SH</t>
  </si>
  <si>
    <t>PVM, SPR-230NE-BLK-D SH</t>
  </si>
  <si>
    <t>PVM, SPR-235NE-WHT-D SH</t>
  </si>
  <si>
    <t>PVM, SPR-240E-WHT-D AR SH</t>
  </si>
  <si>
    <t>PVM, SPR-240E-WHT-U ACPV SH</t>
  </si>
  <si>
    <t>PVM, SPR-245NE-WHT-D AR-A SH</t>
  </si>
  <si>
    <t>PVM, SPR-315NE-WHT-D SH</t>
  </si>
  <si>
    <t>PVM, SPR-320E-WHT-D AR SH</t>
  </si>
  <si>
    <t>PVM, SPR-327NE-WHT-D AR SH</t>
  </si>
  <si>
    <t>PVM, SPR-327NE-WHT-D AR-A SH</t>
  </si>
  <si>
    <t>PVM, SPR-230E-WHT-D SH</t>
  </si>
  <si>
    <t>PVM, SPR-308E-WHT-D SH</t>
  </si>
  <si>
    <t>PVM, SPR-320E-WHT-D AR-A SH</t>
  </si>
  <si>
    <t>PVM, SPR-225E-BLK-D SH</t>
  </si>
  <si>
    <t>INVERTER, SPR-10000p-3, 208V, POS GND, RS485, 10-YEAR WARRANTY</t>
  </si>
  <si>
    <t>INVERTER, SPR-10000p-3-RFB, 208V, POS GND, RS485</t>
  </si>
  <si>
    <t>INVERTER, SPR-12000p-3, 480V, POS GND, RS485, 10-YEAR WARRANTY</t>
  </si>
  <si>
    <t>INVERTER, SPR-12000p-3-RFB, 480V, POS GND, RS485</t>
  </si>
  <si>
    <t>ASSY, MODULE, T5, US, 327NEL-WHT-D CAR (1507-352)</t>
  </si>
  <si>
    <t>MONITORING ITEM, SP-ACC-STD, RESIDENTIAL INSTALL KIT, SMS</t>
  </si>
  <si>
    <t>MOUNTING ITEM, UNIRAC, SMI GROUND CLIP, SS, UGC-2 (20 UNITS/BOX)</t>
  </si>
  <si>
    <t>MOUNTING ITEM, LAG BOLT, SOLARMOUNT-I, 5/16 x 3.5"</t>
  </si>
  <si>
    <t>MOUNTING ITEM, UNIRAC, SM GROUND CLIP, SS, UGC-1 (20 UNITS/BOX)</t>
  </si>
  <si>
    <t>ASSY, BALLAST, NORTH, T5, SCE, 24LB</t>
  </si>
  <si>
    <t>ASSY, BALLAST, SOUTH, T5, SCE, 24LB</t>
  </si>
  <si>
    <t>ASSY, BALLAST, SOUTH, 26LB, T5</t>
  </si>
  <si>
    <t>COMBINER BOX, 32-STR, 1000V-UL, NEMA4X, STD</t>
  </si>
  <si>
    <t>INTER ROW EXTENSION CABLE, ACPV, 5', 5-PIN RECEPTACLE TO 5-PIN RECEPTACLE</t>
  </si>
  <si>
    <t>INTER ROW EXTENSION CABLE, ACPV, 5', 5-PIN PLUG TO 5-PIN PLUG</t>
  </si>
  <si>
    <t>INTER ROW EXTENSION CABLE, ACPV, 10', 5-PIN RECEPTACLE TO 5-PIN RECEPTACLE</t>
  </si>
  <si>
    <t>INTER ROW EXTENSION CABLE, ACPV, 10', 5-PIN PLUG TO 5-PIN PLUG</t>
  </si>
  <si>
    <t>CABLE MANAGEMENT CLIP, ACPV, 301 SS, 0 DEGREES, 12 AWG</t>
  </si>
  <si>
    <t>CABLE MANAGEMENT CLIP, ACPV, 301 SS, 90 DEGREES, 12 AWG</t>
  </si>
  <si>
    <t>MOUNTING ITEM, LABEL, SELF ADHESIVE, "SUNPOWER", VECTOR HALO</t>
  </si>
  <si>
    <t>Branch Circuit End Cap, ACPV, Plug</t>
  </si>
  <si>
    <t>Branch Circuit End Cap, ACPV, Receptacle</t>
  </si>
  <si>
    <t>KIT, FRU, ACPV MICROINVERTER - SBT</t>
  </si>
  <si>
    <t>MOUNTING ITEM, FLAT WASHER, SOLARMOUNT-I, 5/16", CLR</t>
  </si>
  <si>
    <t>KIT, REPLACEMENT HARDWARE SET, 6" HANGER BOLT (12 units per box)</t>
  </si>
  <si>
    <t>KIT, REPLACEMENT HARDWARE SET, 8" HANGER BOLT (12 units per box)</t>
  </si>
  <si>
    <t>MOUNTING ITEM, U-LA, SM BOTTOM MOUNT CLAMP w/HDW, CLR</t>
  </si>
  <si>
    <t>ASSY, MODULE, T5, 308EL-WHT-D C N</t>
  </si>
  <si>
    <t>PVM, SPR-300E-WHT-D LE</t>
  </si>
  <si>
    <t>EXTENSION CABLE, ACPV GEN 2.0, 5', 4-PIN, PLUG/RECEPTACLE</t>
  </si>
  <si>
    <t>EXTENSION CABLE, ACPV GEN 2.0, 10', 4-PIN, PLUG/RECEPTACLE</t>
  </si>
  <si>
    <t>EXTENSION CABLE, ACPV GEN 2.0, 5', 4-PIN, RECEPTACLE/RECEPTACLE</t>
  </si>
  <si>
    <t>EXTENSION CABLE, ACPV GEN 2.0, 10', 4-PIN, RECEPTACLE/RECEPTACLE</t>
  </si>
  <si>
    <t>EXTENSION CABLE, ACPV GEN 2.0, 5', 4-PIN, PLUG/PLUG</t>
  </si>
  <si>
    <t>EXTENSION CABLE, ACPV GEN 2.0, 10', 4-PIN, PLUG/PLUG</t>
  </si>
  <si>
    <t>BRANCH CIRCUIT END CAP, ACPV GEN 2.0, RECEPTACLE COVER</t>
  </si>
  <si>
    <t>BRANCH CIRCUIT END CAP, ACPV GEN 2.0, PLUG COVER</t>
  </si>
  <si>
    <t>PVM, SPR-240E-WHT-U AR-A ACPV</t>
  </si>
  <si>
    <t>PVM, SPR-343J-WHT-D AR-S</t>
  </si>
  <si>
    <t>PVM, SPR-327NE-WHT-D AR-S</t>
  </si>
  <si>
    <t>PVM, SPR-327NE-WHT-D AR-S SH</t>
  </si>
  <si>
    <t>PVM, SPR-327NE-WHT-D AR-A3</t>
  </si>
  <si>
    <t>KIT, ACCESSORY, PIN/DISCONNECT TOOL</t>
  </si>
  <si>
    <t>PVM, SPR-327NE-WHT-D CAR-A</t>
  </si>
  <si>
    <t>PVM, SPR-327NE-WHT-D CAR-A LE</t>
  </si>
  <si>
    <t>PVM, SPR-327NE-WHT-D CAR-CS LE</t>
  </si>
  <si>
    <t>Stephanie Fairfield</t>
  </si>
  <si>
    <t>Tina Kroh</t>
  </si>
  <si>
    <t>Tina.Kroh@nal.syncreon.com</t>
  </si>
  <si>
    <t>609-409-5921 loc 255</t>
  </si>
  <si>
    <t>Liz Richardson</t>
  </si>
  <si>
    <t>lrichardson@dircks.com / SunPowerW06@dircks.com</t>
  </si>
  <si>
    <t>602 269-5528</t>
  </si>
  <si>
    <t>303 923 1276</t>
  </si>
  <si>
    <t>Jeremy Clemente/Jose Diaz</t>
  </si>
  <si>
    <t>Steve Reuter /Vicki Finlay-Grisham</t>
  </si>
  <si>
    <t>Ramie Cardona/Darren Nakamoto</t>
  </si>
  <si>
    <t>ramiecardona@hawaiitransfer.biz/darrennakamoto@hawaiitransfer.biz</t>
  </si>
  <si>
    <t>Hawaii Transfer</t>
  </si>
  <si>
    <t>94-1420 Moaniani St</t>
  </si>
  <si>
    <t>Waipahu, HI. 96797</t>
  </si>
  <si>
    <t>PowerOne</t>
  </si>
  <si>
    <t>SunPower San Jose</t>
  </si>
  <si>
    <t>SunPower Richmond</t>
  </si>
  <si>
    <t xml:space="preserve">808-4417135 </t>
  </si>
  <si>
    <t>Power-One,Renewable Energy Solution</t>
  </si>
  <si>
    <t>Michael Edwards</t>
  </si>
  <si>
    <t>3201 E Harbour Dr</t>
  </si>
  <si>
    <t>Phoenix, AZ 85034-7227</t>
  </si>
  <si>
    <t>Michael.Edwards@power-one.com</t>
  </si>
  <si>
    <t>SunPower Corporation</t>
  </si>
  <si>
    <t>1414 Harbour Way South</t>
  </si>
  <si>
    <t>Richmond, CA 94804</t>
  </si>
  <si>
    <t>Dylan Benjamin</t>
  </si>
  <si>
    <t>Sander Caldwell</t>
  </si>
  <si>
    <t>415 819 5944</t>
  </si>
  <si>
    <t>Dylan.Benjamin@sunpowercorp.com</t>
  </si>
  <si>
    <t>510 260 8563</t>
  </si>
  <si>
    <t>Sander.Caldwell@sunpowercorp.com</t>
  </si>
  <si>
    <t>51 Rio Robles</t>
  </si>
  <si>
    <t>San Jose, CA 95134</t>
  </si>
  <si>
    <t>Lauren Leonard</t>
  </si>
  <si>
    <t xml:space="preserve"> (510) 260-8338</t>
  </si>
  <si>
    <t>lauren.leonard@sunpowercorp.com</t>
  </si>
  <si>
    <t>SunPower Richmond - R&amp;D</t>
  </si>
  <si>
    <r>
      <rPr>
        <sz val="9"/>
        <color indexed="12"/>
        <rFont val="Tahoma"/>
        <family val="2"/>
      </rPr>
      <t xml:space="preserve">Walter.Ulloa@nal.syncreon.com / HWDSunpower.Outbound@nal.syncreon.com / </t>
    </r>
    <r>
      <rPr>
        <u/>
        <sz val="9"/>
        <color indexed="12"/>
        <rFont val="Tahoma"/>
        <family val="2"/>
      </rPr>
      <t>FMT.Sunpower@nal.syncreon.com</t>
    </r>
  </si>
  <si>
    <r>
      <t>sfairfield@mccollisters.com</t>
    </r>
    <r>
      <rPr>
        <sz val="9"/>
        <color indexed="12"/>
        <rFont val="Tahoma"/>
        <family val="2"/>
      </rPr>
      <t xml:space="preserve">/ </t>
    </r>
    <r>
      <rPr>
        <u/>
        <sz val="9"/>
        <color indexed="12"/>
        <rFont val="Tahoma"/>
        <family val="2"/>
      </rPr>
      <t>SunPowerW02@mccollisters.com</t>
    </r>
  </si>
  <si>
    <r>
      <t>kinks@mccollisters.com</t>
    </r>
    <r>
      <rPr>
        <sz val="9"/>
        <color indexed="12"/>
        <rFont val="Tahoma"/>
        <family val="2"/>
      </rPr>
      <t xml:space="preserve"> / </t>
    </r>
    <r>
      <rPr>
        <u/>
        <sz val="9"/>
        <color indexed="12"/>
        <rFont val="Tahoma"/>
        <family val="2"/>
      </rPr>
      <t>SunPowerW03@mccollisters.com</t>
    </r>
  </si>
  <si>
    <r>
      <t>nowens@mccollisters.com</t>
    </r>
    <r>
      <rPr>
        <sz val="9"/>
        <color indexed="12"/>
        <rFont val="Tahoma"/>
        <family val="2"/>
      </rPr>
      <t xml:space="preserve"> / </t>
    </r>
    <r>
      <rPr>
        <u/>
        <sz val="9"/>
        <color indexed="12"/>
        <rFont val="Tahoma"/>
        <family val="2"/>
      </rPr>
      <t>SunPowerW04@mccollisters.com</t>
    </r>
  </si>
  <si>
    <r>
      <t>JClemente@mesamoving.com</t>
    </r>
    <r>
      <rPr>
        <sz val="9"/>
        <color indexed="12"/>
        <rFont val="Tahoma"/>
        <family val="2"/>
      </rPr>
      <t xml:space="preserve">/ </t>
    </r>
    <r>
      <rPr>
        <u/>
        <sz val="9"/>
        <color indexed="12"/>
        <rFont val="Tahoma"/>
        <family val="2"/>
      </rPr>
      <t>SunPowerW07@mesasystemsinc.com</t>
    </r>
  </si>
  <si>
    <r>
      <t>cpayne@mccollisters.com</t>
    </r>
    <r>
      <rPr>
        <sz val="9"/>
        <color indexed="12"/>
        <rFont val="Tahoma"/>
        <family val="2"/>
      </rPr>
      <t xml:space="preserve"> / </t>
    </r>
    <r>
      <rPr>
        <u/>
        <sz val="9"/>
        <color indexed="12"/>
        <rFont val="Tahoma"/>
        <family val="2"/>
      </rPr>
      <t>SunPowerW02@mccollisters.com</t>
    </r>
  </si>
  <si>
    <r>
      <t>bruce.vivians@nal.syncreon.com</t>
    </r>
    <r>
      <rPr>
        <sz val="9"/>
        <color indexed="12"/>
        <rFont val="Tahoma"/>
        <family val="2"/>
      </rPr>
      <t xml:space="preserve"> / </t>
    </r>
    <r>
      <rPr>
        <u/>
        <sz val="9"/>
        <color indexed="12"/>
        <rFont val="Tahoma"/>
        <family val="2"/>
      </rPr>
      <t>FMT.Sunpower@nal.syncreon.com</t>
    </r>
  </si>
  <si>
    <t>other</t>
  </si>
  <si>
    <t>REAL GOODS SOLAR</t>
  </si>
  <si>
    <t>7003 East 47th Avenue Drive Unit 700</t>
  </si>
  <si>
    <t>Denver, CO, 80216, US</t>
  </si>
  <si>
    <t>SARAH MONIZ</t>
  </si>
  <si>
    <t>408-703-2242</t>
  </si>
  <si>
    <t>sarah.moniz@realgoods.com</t>
  </si>
  <si>
    <t>Pick-up Only for a Cancelled Lease</t>
  </si>
  <si>
    <t xml:space="preserve">Pls. pick-up materials for a Cancelled Lease Rick Moody Lease#176082
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</si>
</sst>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Tahoma"/>
      <family val="2"/>
    </font>
    <font>
      <sz val="9"/>
      <color theme="1"/>
      <name val="Calibri"/>
      <family val="2"/>
      <scheme val="minor"/>
    </font>
    <font>
      <u/>
      <sz val="7.5"/>
      <color indexed="12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Tahoma"/>
      <family val="2"/>
    </font>
    <font>
      <sz val="9"/>
      <name val="Tahoma"/>
      <family val="2"/>
    </font>
    <font>
      <u/>
      <sz val="9"/>
      <color indexed="12"/>
      <name val="Tahoma"/>
      <family val="2"/>
    </font>
    <font>
      <sz val="9"/>
      <color indexed="12"/>
      <name val="Tahoma"/>
      <family val="2"/>
    </font>
    <font>
      <sz val="9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12">
    <xf numFmtId="0" fontId="0" fillId="0" borderId="0" xfId="0"/>
    <xf numFmtId="0" fontId="5" fillId="0" borderId="0" xfId="0" applyFont="1"/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center" vertical="center" wrapText="1"/>
    </xf>
    <xf numFmtId="14" fontId="5" fillId="0" borderId="0" xfId="0" applyNumberFormat="1" applyFont="1"/>
    <xf numFmtId="0" fontId="7" fillId="2" borderId="0" xfId="0" applyFont="1" applyFill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5" fillId="2" borderId="0" xfId="0" quotePrefix="1" applyFont="1" applyFill="1" applyAlignment="1">
      <alignment vertical="center"/>
    </xf>
    <xf numFmtId="0" fontId="5" fillId="8" borderId="0" xfId="0" applyFont="1" applyFill="1"/>
    <xf numFmtId="0" fontId="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5" fillId="0" borderId="0" xfId="0" applyNumberFormat="1" applyFont="1"/>
    <xf numFmtId="0" fontId="6" fillId="6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5" fillId="5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5" fillId="5" borderId="13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right"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/>
    <xf numFmtId="0" fontId="12" fillId="0" borderId="1" xfId="0" applyFont="1" applyBorder="1" applyAlignment="1"/>
    <xf numFmtId="0" fontId="13" fillId="0" borderId="1" xfId="1" applyFont="1" applyBorder="1" applyAlignment="1" applyProtection="1"/>
    <xf numFmtId="0" fontId="15" fillId="0" borderId="1" xfId="0" applyFont="1" applyBorder="1" applyAlignment="1"/>
    <xf numFmtId="0" fontId="13" fillId="0" borderId="1" xfId="1" applyFont="1" applyBorder="1" applyAlignment="1" applyProtection="1">
      <alignment vertical="center"/>
    </xf>
    <xf numFmtId="0" fontId="11" fillId="0" borderId="0" xfId="0" applyFont="1" applyAlignment="1"/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5" xfId="0" applyFont="1" applyFill="1" applyBorder="1" applyAlignment="1">
      <alignment horizontal="right" vertical="center"/>
    </xf>
    <xf numFmtId="0" fontId="5" fillId="9" borderId="2" xfId="0" applyFont="1" applyFill="1" applyBorder="1" applyAlignment="1" applyProtection="1">
      <alignment horizontal="left" vertical="center"/>
      <protection locked="0"/>
    </xf>
    <xf numFmtId="0" fontId="5" fillId="4" borderId="3" xfId="0" applyFont="1" applyFill="1" applyBorder="1" applyAlignment="1" applyProtection="1">
      <alignment horizontal="left" vertical="center"/>
      <protection locked="0"/>
    </xf>
    <xf numFmtId="0" fontId="5" fillId="4" borderId="4" xfId="0" applyFont="1" applyFill="1" applyBorder="1" applyAlignment="1" applyProtection="1">
      <alignment horizontal="left" vertical="center"/>
      <protection locked="0"/>
    </xf>
    <xf numFmtId="0" fontId="5" fillId="7" borderId="2" xfId="0" applyFont="1" applyFill="1" applyBorder="1" applyAlignment="1" applyProtection="1">
      <alignment horizontal="left" vertical="center"/>
    </xf>
    <xf numFmtId="0" fontId="5" fillId="7" borderId="3" xfId="0" applyFont="1" applyFill="1" applyBorder="1" applyAlignment="1" applyProtection="1">
      <alignment horizontal="left" vertical="center"/>
    </xf>
    <xf numFmtId="0" fontId="5" fillId="7" borderId="4" xfId="0" applyFont="1" applyFill="1" applyBorder="1" applyAlignment="1" applyProtection="1">
      <alignment horizontal="left" vertical="center"/>
    </xf>
    <xf numFmtId="14" fontId="5" fillId="3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right" vertical="center"/>
    </xf>
    <xf numFmtId="0" fontId="5" fillId="2" borderId="5" xfId="0" applyFont="1" applyFill="1" applyBorder="1" applyAlignment="1">
      <alignment horizontal="right" vertical="center"/>
    </xf>
    <xf numFmtId="14" fontId="5" fillId="3" borderId="2" xfId="0" applyNumberFormat="1" applyFont="1" applyFill="1" applyBorder="1" applyAlignment="1" applyProtection="1">
      <alignment horizontal="left" vertical="center"/>
      <protection locked="0"/>
    </xf>
    <xf numFmtId="14" fontId="5" fillId="3" borderId="3" xfId="0" applyNumberFormat="1" applyFont="1" applyFill="1" applyBorder="1" applyAlignment="1" applyProtection="1">
      <alignment horizontal="left" vertical="center"/>
      <protection locked="0"/>
    </xf>
    <xf numFmtId="14" fontId="5" fillId="3" borderId="4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5" fillId="3" borderId="3" xfId="0" applyFont="1" applyFill="1" applyBorder="1" applyAlignment="1" applyProtection="1">
      <alignment horizontal="left" vertical="center"/>
      <protection locked="0"/>
    </xf>
    <xf numFmtId="0" fontId="5" fillId="3" borderId="4" xfId="0" applyFont="1" applyFill="1" applyBorder="1" applyAlignment="1" applyProtection="1">
      <alignment horizontal="left" vertical="center"/>
      <protection locked="0"/>
    </xf>
    <xf numFmtId="0" fontId="5" fillId="9" borderId="2" xfId="0" applyFont="1" applyFill="1" applyBorder="1" applyAlignment="1" applyProtection="1">
      <alignment horizontal="left" vertical="center" wrapText="1"/>
      <protection locked="0"/>
    </xf>
    <xf numFmtId="0" fontId="5" fillId="4" borderId="3" xfId="0" applyFont="1" applyFill="1" applyBorder="1" applyAlignment="1" applyProtection="1">
      <alignment horizontal="left" vertical="center" wrapText="1"/>
      <protection locked="0"/>
    </xf>
    <xf numFmtId="0" fontId="5" fillId="4" borderId="4" xfId="0" applyFont="1" applyFill="1" applyBorder="1" applyAlignment="1" applyProtection="1">
      <alignment horizontal="left" vertical="center" wrapText="1"/>
      <protection locked="0"/>
    </xf>
    <xf numFmtId="0" fontId="5" fillId="3" borderId="2" xfId="0" applyNumberFormat="1" applyFont="1" applyFill="1" applyBorder="1" applyAlignment="1" applyProtection="1">
      <alignment horizontal="left" vertical="center"/>
      <protection locked="0"/>
    </xf>
    <xf numFmtId="0" fontId="5" fillId="3" borderId="3" xfId="0" applyNumberFormat="1" applyFont="1" applyFill="1" applyBorder="1" applyAlignment="1" applyProtection="1">
      <alignment horizontal="left" vertical="center"/>
      <protection locked="0"/>
    </xf>
    <xf numFmtId="0" fontId="5" fillId="3" borderId="4" xfId="0" applyNumberFormat="1" applyFont="1" applyFill="1" applyBorder="1" applyAlignment="1" applyProtection="1">
      <alignment horizontal="left" vertical="center"/>
      <protection locked="0"/>
    </xf>
    <xf numFmtId="0" fontId="5" fillId="2" borderId="0" xfId="0" applyFont="1" applyFill="1" applyAlignment="1">
      <alignment horizontal="right" vertical="top"/>
    </xf>
    <xf numFmtId="0" fontId="5" fillId="2" borderId="5" xfId="0" applyFont="1" applyFill="1" applyBorder="1" applyAlignment="1">
      <alignment horizontal="right" vertical="top"/>
    </xf>
    <xf numFmtId="0" fontId="5" fillId="3" borderId="2" xfId="0" applyNumberFormat="1" applyFont="1" applyFill="1" applyBorder="1" applyAlignment="1" applyProtection="1">
      <alignment horizontal="left" vertical="top" wrapText="1"/>
      <protection locked="0"/>
    </xf>
    <xf numFmtId="0" fontId="5" fillId="3" borderId="3" xfId="0" applyNumberFormat="1" applyFont="1" applyFill="1" applyBorder="1" applyAlignment="1" applyProtection="1">
      <alignment horizontal="left" vertical="top" wrapText="1"/>
      <protection locked="0"/>
    </xf>
    <xf numFmtId="0" fontId="5" fillId="3" borderId="4" xfId="0" applyNumberFormat="1" applyFont="1" applyFill="1" applyBorder="1" applyAlignment="1" applyProtection="1">
      <alignment horizontal="left" vertical="top" wrapText="1"/>
      <protection locked="0"/>
    </xf>
    <xf numFmtId="0" fontId="5" fillId="3" borderId="7" xfId="0" applyFont="1" applyFill="1" applyBorder="1" applyAlignment="1" applyProtection="1">
      <alignment horizontal="left" vertical="top" wrapText="1"/>
      <protection locked="0"/>
    </xf>
    <xf numFmtId="0" fontId="5" fillId="3" borderId="8" xfId="0" applyFont="1" applyFill="1" applyBorder="1" applyAlignment="1" applyProtection="1">
      <alignment horizontal="left" vertical="top" wrapText="1"/>
      <protection locked="0"/>
    </xf>
    <xf numFmtId="0" fontId="5" fillId="3" borderId="9" xfId="0" applyFont="1" applyFill="1" applyBorder="1" applyAlignment="1" applyProtection="1">
      <alignment horizontal="left" vertical="top" wrapText="1"/>
      <protection locked="0"/>
    </xf>
    <xf numFmtId="0" fontId="5" fillId="3" borderId="6" xfId="0" applyFont="1" applyFill="1" applyBorder="1" applyAlignment="1" applyProtection="1">
      <alignment horizontal="left" vertical="top" wrapText="1"/>
      <protection locked="0"/>
    </xf>
    <xf numFmtId="0" fontId="5" fillId="3" borderId="0" xfId="0" applyFont="1" applyFill="1" applyBorder="1" applyAlignment="1" applyProtection="1">
      <alignment horizontal="left" vertical="top" wrapText="1"/>
      <protection locked="0"/>
    </xf>
    <xf numFmtId="0" fontId="5" fillId="3" borderId="5" xfId="0" applyFont="1" applyFill="1" applyBorder="1" applyAlignment="1" applyProtection="1">
      <alignment horizontal="left" vertical="top" wrapText="1"/>
      <protection locked="0"/>
    </xf>
    <xf numFmtId="0" fontId="5" fillId="3" borderId="10" xfId="0" applyFont="1" applyFill="1" applyBorder="1" applyAlignment="1" applyProtection="1">
      <alignment horizontal="left" vertical="top" wrapText="1"/>
      <protection locked="0"/>
    </xf>
    <xf numFmtId="0" fontId="5" fillId="3" borderId="11" xfId="0" applyFont="1" applyFill="1" applyBorder="1" applyAlignment="1" applyProtection="1">
      <alignment horizontal="left" vertical="top" wrapText="1"/>
      <protection locked="0"/>
    </xf>
    <xf numFmtId="0" fontId="5" fillId="3" borderId="12" xfId="0" applyFont="1" applyFill="1" applyBorder="1" applyAlignment="1" applyProtection="1">
      <alignment horizontal="left" vertical="top" wrapText="1"/>
      <protection locked="0"/>
    </xf>
    <xf numFmtId="0" fontId="5" fillId="7" borderId="2" xfId="0" applyFont="1" applyFill="1" applyBorder="1" applyAlignment="1" applyProtection="1">
      <alignment horizontal="left" vertical="center" wrapText="1"/>
    </xf>
    <xf numFmtId="0" fontId="5" fillId="7" borderId="3" xfId="0" applyFont="1" applyFill="1" applyBorder="1" applyAlignment="1" applyProtection="1">
      <alignment horizontal="left" vertical="center" wrapText="1"/>
    </xf>
    <xf numFmtId="0" fontId="5" fillId="7" borderId="4" xfId="0" applyFont="1" applyFill="1" applyBorder="1" applyAlignment="1" applyProtection="1">
      <alignment horizontal="left" vertical="center" wrapText="1"/>
    </xf>
    <xf numFmtId="0" fontId="5" fillId="3" borderId="2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 wrapText="1" shrinkToFit="1"/>
    </xf>
    <xf numFmtId="0" fontId="0" fillId="0" borderId="3" xfId="0" applyBorder="1"/>
    <xf numFmtId="0" fontId="0" fillId="0" borderId="4" xfId="0" applyBorder="1"/>
    <xf numFmtId="0" fontId="5" fillId="0" borderId="3" xfId="0" applyFont="1" applyFill="1" applyBorder="1" applyAlignment="1">
      <alignment horizontal="left" vertical="center" wrapText="1" shrinkToFit="1"/>
    </xf>
    <xf numFmtId="0" fontId="5" fillId="0" borderId="4" xfId="0" applyFont="1" applyFill="1" applyBorder="1" applyAlignment="1">
      <alignment horizontal="left" vertical="center" wrapText="1" shrinkToFit="1"/>
    </xf>
    <xf numFmtId="0" fontId="5" fillId="0" borderId="2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10" fillId="3" borderId="2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10" fillId="3" borderId="4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3" fillId="3" borderId="7" xfId="0" applyFont="1" applyFill="1" applyBorder="1" applyAlignment="1" applyProtection="1">
      <alignment horizontal="left" vertical="top"/>
      <protection locked="0"/>
    </xf>
    <xf numFmtId="0" fontId="3" fillId="3" borderId="8" xfId="0" applyFont="1" applyFill="1" applyBorder="1" applyAlignment="1" applyProtection="1">
      <alignment horizontal="left" vertical="top"/>
      <protection locked="0"/>
    </xf>
    <xf numFmtId="0" fontId="3" fillId="3" borderId="9" xfId="0" applyFont="1" applyFill="1" applyBorder="1" applyAlignment="1" applyProtection="1">
      <alignment horizontal="left" vertical="top"/>
      <protection locked="0"/>
    </xf>
    <xf numFmtId="0" fontId="3" fillId="3" borderId="6" xfId="0" applyFont="1" applyFill="1" applyBorder="1" applyAlignment="1" applyProtection="1">
      <alignment horizontal="left" vertical="top"/>
      <protection locked="0"/>
    </xf>
    <xf numFmtId="0" fontId="3" fillId="3" borderId="0" xfId="0" applyFont="1" applyFill="1" applyBorder="1" applyAlignment="1" applyProtection="1">
      <alignment horizontal="left" vertical="top"/>
      <protection locked="0"/>
    </xf>
    <xf numFmtId="0" fontId="3" fillId="3" borderId="5" xfId="0" applyFont="1" applyFill="1" applyBorder="1" applyAlignment="1" applyProtection="1">
      <alignment horizontal="left" vertical="top"/>
      <protection locked="0"/>
    </xf>
    <xf numFmtId="0" fontId="3" fillId="3" borderId="10" xfId="0" applyFont="1" applyFill="1" applyBorder="1" applyAlignment="1" applyProtection="1">
      <alignment horizontal="left" vertical="top"/>
      <protection locked="0"/>
    </xf>
    <xf numFmtId="0" fontId="3" fillId="3" borderId="11" xfId="0" applyFont="1" applyFill="1" applyBorder="1" applyAlignment="1" applyProtection="1">
      <alignment horizontal="left" vertical="top"/>
      <protection locked="0"/>
    </xf>
    <xf numFmtId="0" fontId="3" fillId="3" borderId="12" xfId="0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7</xdr:col>
      <xdr:colOff>333374</xdr:colOff>
      <xdr:row>2</xdr:row>
      <xdr:rowOff>57150</xdr:rowOff>
    </xdr:to>
    <xdr:pic>
      <xdr:nvPicPr>
        <xdr:cNvPr id="3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4" y="76200"/>
          <a:ext cx="26479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485775</xdr:colOff>
      <xdr:row>2</xdr:row>
      <xdr:rowOff>114299</xdr:rowOff>
    </xdr:from>
    <xdr:to>
      <xdr:col>7</xdr:col>
      <xdr:colOff>333375</xdr:colOff>
      <xdr:row>4</xdr:row>
      <xdr:rowOff>19049</xdr:rowOff>
    </xdr:to>
    <xdr:sp macro="" textlink="">
      <xdr:nvSpPr>
        <xdr:cNvPr id="4" name="Left Arrow 3"/>
        <xdr:cNvSpPr/>
      </xdr:nvSpPr>
      <xdr:spPr>
        <a:xfrm>
          <a:off x="1857375" y="685799"/>
          <a:ext cx="1019175" cy="3333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Click to Send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80008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kinks@mccollisters.com%20/" TargetMode="External"/><Relationship Id="rId13" Type="http://schemas.openxmlformats.org/officeDocument/2006/relationships/hyperlink" Target="mailto:Michael.Edwards@power-one.com" TargetMode="External"/><Relationship Id="rId3" Type="http://schemas.openxmlformats.org/officeDocument/2006/relationships/hyperlink" Target="mailto:nowens@mccollisters.com%20/" TargetMode="External"/><Relationship Id="rId7" Type="http://schemas.openxmlformats.org/officeDocument/2006/relationships/hyperlink" Target="mailto:cpayne@mccollisters.com%20/" TargetMode="External"/><Relationship Id="rId12" Type="http://schemas.openxmlformats.org/officeDocument/2006/relationships/hyperlink" Target="mailto:ramiecardona@hawaiitransfer.biz/darrennakamoto@hawaiitransfer.biz" TargetMode="External"/><Relationship Id="rId2" Type="http://schemas.openxmlformats.org/officeDocument/2006/relationships/hyperlink" Target="mailto:kinks@mccollisters.com%20/" TargetMode="External"/><Relationship Id="rId16" Type="http://schemas.openxmlformats.org/officeDocument/2006/relationships/hyperlink" Target="mailto:lauren.leonard@sunpowercorp.com" TargetMode="External"/><Relationship Id="rId1" Type="http://schemas.openxmlformats.org/officeDocument/2006/relationships/hyperlink" Target="mailto:cpayne@mccollisters.com%20/" TargetMode="External"/><Relationship Id="rId6" Type="http://schemas.openxmlformats.org/officeDocument/2006/relationships/hyperlink" Target="mailto:sreuter@mccollisters.com" TargetMode="External"/><Relationship Id="rId11" Type="http://schemas.openxmlformats.org/officeDocument/2006/relationships/hyperlink" Target="mailto:cpayne@mccollisters.com%20/" TargetMode="External"/><Relationship Id="rId5" Type="http://schemas.openxmlformats.org/officeDocument/2006/relationships/hyperlink" Target="mailto:nowens@mccollisters.com%20/" TargetMode="External"/><Relationship Id="rId15" Type="http://schemas.openxmlformats.org/officeDocument/2006/relationships/hyperlink" Target="mailto:Sander.Caldwell@sunpowercorp.com" TargetMode="External"/><Relationship Id="rId10" Type="http://schemas.openxmlformats.org/officeDocument/2006/relationships/hyperlink" Target="mailto:duane.harper@nal.syncreon.com" TargetMode="External"/><Relationship Id="rId4" Type="http://schemas.openxmlformats.org/officeDocument/2006/relationships/hyperlink" Target="mailto:Tina.Kroh@nal.syncreon.com" TargetMode="External"/><Relationship Id="rId9" Type="http://schemas.openxmlformats.org/officeDocument/2006/relationships/hyperlink" Target="mailto:cpayne@mccollisters.com%20/" TargetMode="External"/><Relationship Id="rId14" Type="http://schemas.openxmlformats.org/officeDocument/2006/relationships/hyperlink" Target="mailto:Dylan.Benjamin@sunpowercor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41"/>
  <sheetViews>
    <sheetView showGridLines="0" showRowColHeaders="0" tabSelected="1" workbookViewId="0">
      <selection activeCell="Q41" sqref="Q41"/>
    </sheetView>
  </sheetViews>
  <sheetFormatPr defaultColWidth="0" defaultRowHeight="15" zeroHeight="1"/>
  <cols>
    <col min="1" max="1" width="5.42578125" style="8" customWidth="1"/>
    <col min="2" max="2" width="8.42578125" style="8" customWidth="1"/>
    <col min="3" max="3" width="0.28515625" style="8" customWidth="1"/>
    <col min="4" max="4" width="6.42578125" style="8" customWidth="1"/>
    <col min="5" max="5" width="17.140625" style="8" customWidth="1"/>
    <col min="6" max="6" width="0.28515625" style="8" customWidth="1"/>
    <col min="7" max="8" width="9.140625" style="8" customWidth="1"/>
    <col min="9" max="9" width="10.7109375" style="8" customWidth="1"/>
    <col min="10" max="10" width="5" style="8" customWidth="1"/>
    <col min="11" max="11" width="7.42578125" style="8" customWidth="1"/>
    <col min="12" max="12" width="12" style="8" customWidth="1"/>
    <col min="13" max="13" width="0.28515625" style="8" customWidth="1"/>
    <col min="14" max="14" width="9.140625" style="8" customWidth="1"/>
    <col min="15" max="15" width="16.42578125" style="8" customWidth="1"/>
    <col min="16" max="16" width="0.28515625" style="8" customWidth="1"/>
    <col min="17" max="17" width="9.140625" style="8" customWidth="1"/>
    <col min="18" max="18" width="0.28515625" style="8" customWidth="1"/>
    <col min="19" max="19" width="10.28515625" style="8" customWidth="1"/>
    <col min="20" max="20" width="9" style="8" customWidth="1"/>
    <col min="21" max="21" width="8.5703125" style="8" customWidth="1"/>
    <col min="22" max="22" width="5.85546875" style="8" customWidth="1"/>
    <col min="23" max="26" width="9.140625" style="8" customWidth="1"/>
    <col min="27" max="16384" width="9.140625" style="8" hidden="1"/>
  </cols>
  <sheetData>
    <row r="1" spans="1:26" ht="9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36">
      <c r="A2" s="9"/>
      <c r="B2" s="9"/>
      <c r="C2" s="9"/>
      <c r="D2" s="9"/>
      <c r="E2" s="9"/>
      <c r="F2" s="9"/>
      <c r="G2" s="9"/>
      <c r="H2" s="9"/>
      <c r="I2" s="41" t="s">
        <v>5075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7"/>
      <c r="V2" s="7"/>
      <c r="W2" s="7"/>
      <c r="X2" s="7"/>
      <c r="Y2" s="7"/>
      <c r="Z2" s="7"/>
    </row>
    <row r="3" spans="1:26" ht="20.25" customHeigh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22">
        <v>20110803</v>
      </c>
      <c r="S3" s="21"/>
      <c r="T3" s="10"/>
      <c r="U3" s="7"/>
      <c r="V3" s="7"/>
      <c r="W3" s="7"/>
      <c r="X3" s="7"/>
      <c r="Y3" s="7"/>
      <c r="Z3" s="7"/>
    </row>
    <row r="4" spans="1:26" s="11" customFormat="1" ht="13.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2" t="s">
        <v>60</v>
      </c>
      <c r="P4" s="52"/>
      <c r="Q4" s="53"/>
      <c r="R4" s="50">
        <f ca="1">TODAY()</f>
        <v>41296</v>
      </c>
      <c r="S4" s="51"/>
      <c r="T4" s="3"/>
      <c r="U4" s="13"/>
      <c r="V4" s="13"/>
      <c r="W4" s="13"/>
      <c r="X4" s="13"/>
      <c r="Y4" s="13"/>
      <c r="Z4" s="13"/>
    </row>
    <row r="5" spans="1:26" ht="8.25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8"/>
      <c r="W6" s="19" t="s">
        <v>5073</v>
      </c>
      <c r="X6" s="19"/>
      <c r="Y6" s="19"/>
      <c r="Z6" s="19"/>
    </row>
    <row r="7" spans="1:26">
      <c r="A7" s="7"/>
      <c r="B7" s="42" t="s">
        <v>5063</v>
      </c>
      <c r="C7" s="42"/>
      <c r="D7" s="43"/>
      <c r="E7" s="31" t="s">
        <v>5054</v>
      </c>
      <c r="F7" s="44" t="s">
        <v>5247</v>
      </c>
      <c r="G7" s="45"/>
      <c r="H7" s="45"/>
      <c r="I7" s="46"/>
      <c r="J7" s="7"/>
      <c r="K7" s="7"/>
      <c r="L7" s="42" t="s">
        <v>5064</v>
      </c>
      <c r="M7" s="42"/>
      <c r="N7" s="43"/>
      <c r="O7" s="31" t="s">
        <v>13</v>
      </c>
      <c r="P7" s="47" t="str">
        <f>IFERROR(VLOOKUP($O$7,WORG_TABLE,2,FALSE),"")</f>
        <v>Mesa Systems, Inc</v>
      </c>
      <c r="Q7" s="48"/>
      <c r="R7" s="48"/>
      <c r="S7" s="48"/>
      <c r="T7" s="49"/>
      <c r="U7" s="7"/>
      <c r="V7" s="7"/>
      <c r="W7" s="13" t="s">
        <v>5074</v>
      </c>
      <c r="X7" s="7"/>
      <c r="Y7" s="7"/>
      <c r="Z7" s="7"/>
    </row>
    <row r="8" spans="1:26" ht="3" customHeight="1">
      <c r="A8" s="7"/>
      <c r="B8" s="7"/>
      <c r="C8" s="7"/>
      <c r="D8" s="7"/>
      <c r="E8" s="13"/>
      <c r="F8" s="13"/>
      <c r="G8" s="13"/>
      <c r="H8" s="13"/>
      <c r="I8" s="13"/>
      <c r="J8" s="7"/>
      <c r="K8" s="7"/>
      <c r="L8" s="7"/>
      <c r="M8" s="7"/>
      <c r="N8" s="7"/>
      <c r="O8" s="13"/>
      <c r="P8" s="13"/>
      <c r="Q8" s="13"/>
      <c r="R8" s="13"/>
      <c r="S8" s="13"/>
      <c r="T8" s="7"/>
      <c r="U8" s="7"/>
      <c r="V8" s="7"/>
      <c r="W8" s="7"/>
      <c r="X8" s="7"/>
      <c r="Y8" s="7"/>
      <c r="Z8" s="7"/>
    </row>
    <row r="9" spans="1:26">
      <c r="A9" s="7"/>
      <c r="B9" s="7"/>
      <c r="C9" s="7"/>
      <c r="D9" s="7"/>
      <c r="E9" s="44" t="s">
        <v>5248</v>
      </c>
      <c r="F9" s="45"/>
      <c r="G9" s="45"/>
      <c r="H9" s="45"/>
      <c r="I9" s="46"/>
      <c r="J9" s="7"/>
      <c r="K9" s="7"/>
      <c r="L9" s="7"/>
      <c r="M9" s="7"/>
      <c r="N9" s="7"/>
      <c r="O9" s="47" t="str">
        <f>IFERROR(VLOOKUP($O$7,WORG_TABLE,3,FALSE),"")</f>
        <v>403 S Airport Blvd</v>
      </c>
      <c r="P9" s="48"/>
      <c r="Q9" s="48"/>
      <c r="R9" s="48"/>
      <c r="S9" s="48"/>
      <c r="T9" s="49"/>
      <c r="U9" s="7"/>
      <c r="V9" s="7"/>
      <c r="W9" s="7"/>
      <c r="X9" s="7"/>
      <c r="Y9" s="7"/>
      <c r="Z9" s="7"/>
    </row>
    <row r="10" spans="1:26" ht="3" customHeight="1">
      <c r="A10" s="7"/>
      <c r="B10" s="7"/>
      <c r="C10" s="7"/>
      <c r="D10" s="7"/>
      <c r="E10" s="13"/>
      <c r="F10" s="13"/>
      <c r="G10" s="13"/>
      <c r="H10" s="13"/>
      <c r="I10" s="13"/>
      <c r="J10" s="7"/>
      <c r="K10" s="7"/>
      <c r="L10" s="7"/>
      <c r="M10" s="7"/>
      <c r="N10" s="7"/>
      <c r="O10" s="13"/>
      <c r="P10" s="13"/>
      <c r="Q10" s="13"/>
      <c r="R10" s="13"/>
      <c r="S10" s="13"/>
      <c r="T10" s="7"/>
      <c r="U10" s="7"/>
      <c r="V10" s="7"/>
      <c r="W10" s="7"/>
      <c r="X10" s="7"/>
      <c r="Y10" s="7"/>
      <c r="Z10" s="7"/>
    </row>
    <row r="11" spans="1:26">
      <c r="A11" s="7"/>
      <c r="B11" s="7"/>
      <c r="C11" s="7"/>
      <c r="D11" s="7"/>
      <c r="E11" s="44" t="s">
        <v>5249</v>
      </c>
      <c r="F11" s="45"/>
      <c r="G11" s="45"/>
      <c r="H11" s="45"/>
      <c r="I11" s="46"/>
      <c r="J11" s="7"/>
      <c r="K11" s="7"/>
      <c r="L11" s="7"/>
      <c r="M11" s="7"/>
      <c r="N11" s="7"/>
      <c r="O11" s="47" t="str">
        <f>IFERROR(VLOOKUP($O$7,WORG_TABLE,4,FALSE),"")</f>
        <v>Aurora, CO 80017</v>
      </c>
      <c r="P11" s="48"/>
      <c r="Q11" s="48"/>
      <c r="R11" s="48"/>
      <c r="S11" s="48"/>
      <c r="T11" s="49"/>
      <c r="U11" s="7"/>
      <c r="V11" s="7"/>
      <c r="W11" s="7"/>
      <c r="X11" s="7"/>
      <c r="Y11" s="7"/>
      <c r="Z11" s="7"/>
    </row>
    <row r="12" spans="1:26" ht="3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>
      <c r="A13" s="7"/>
      <c r="B13" s="42" t="s">
        <v>55</v>
      </c>
      <c r="C13" s="42"/>
      <c r="D13" s="43"/>
      <c r="E13" s="44" t="s">
        <v>5250</v>
      </c>
      <c r="F13" s="45"/>
      <c r="G13" s="45"/>
      <c r="H13" s="45"/>
      <c r="I13" s="46"/>
      <c r="J13" s="7"/>
      <c r="K13" s="7"/>
      <c r="L13" s="42" t="s">
        <v>55</v>
      </c>
      <c r="M13" s="42"/>
      <c r="N13" s="43"/>
      <c r="O13" s="47" t="str">
        <f>IFERROR(VLOOKUP($O$7,WORG_TABLE,5,FALSE),"")</f>
        <v>Jeremy Clemente/Jose Diaz</v>
      </c>
      <c r="P13" s="48"/>
      <c r="Q13" s="48"/>
      <c r="R13" s="48"/>
      <c r="S13" s="48"/>
      <c r="T13" s="49"/>
      <c r="U13" s="7"/>
      <c r="V13" s="7"/>
      <c r="W13" s="7"/>
      <c r="X13" s="7"/>
      <c r="Y13" s="7"/>
      <c r="Z13" s="7"/>
    </row>
    <row r="14" spans="1:26" ht="3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>
      <c r="A15" s="7"/>
      <c r="B15" s="42" t="s">
        <v>56</v>
      </c>
      <c r="C15" s="42"/>
      <c r="D15" s="43"/>
      <c r="E15" s="44" t="s">
        <v>5251</v>
      </c>
      <c r="F15" s="45"/>
      <c r="G15" s="45"/>
      <c r="H15" s="45"/>
      <c r="I15" s="46"/>
      <c r="J15" s="7"/>
      <c r="K15" s="7"/>
      <c r="L15" s="42" t="s">
        <v>56</v>
      </c>
      <c r="M15" s="42"/>
      <c r="N15" s="43"/>
      <c r="O15" s="47" t="str">
        <f>IFERROR(VLOOKUP($O$7,WORG_TABLE,6,FALSE),"")</f>
        <v>303 923 1276</v>
      </c>
      <c r="P15" s="48"/>
      <c r="Q15" s="48"/>
      <c r="R15" s="48"/>
      <c r="S15" s="48"/>
      <c r="T15" s="49"/>
      <c r="U15" s="7"/>
      <c r="V15" s="7"/>
      <c r="W15" s="7"/>
      <c r="X15" s="7"/>
      <c r="Y15" s="7"/>
      <c r="Z15" s="7"/>
    </row>
    <row r="16" spans="1:26" ht="3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31.5" customHeight="1">
      <c r="A17" s="7"/>
      <c r="B17" s="42" t="s">
        <v>57</v>
      </c>
      <c r="C17" s="42"/>
      <c r="D17" s="43"/>
      <c r="E17" s="60" t="s">
        <v>5252</v>
      </c>
      <c r="F17" s="61"/>
      <c r="G17" s="61"/>
      <c r="H17" s="61"/>
      <c r="I17" s="62"/>
      <c r="J17" s="7"/>
      <c r="K17" s="7"/>
      <c r="L17" s="42" t="s">
        <v>57</v>
      </c>
      <c r="M17" s="42"/>
      <c r="N17" s="43"/>
      <c r="O17" s="80" t="str">
        <f>IFERROR(VLOOKUP($O$7,WORG_TABLE,7,FALSE),"")</f>
        <v>JClemente@mesamoving.com/ SunPowerW07@mesasystemsinc.com</v>
      </c>
      <c r="P17" s="81"/>
      <c r="Q17" s="81"/>
      <c r="R17" s="81"/>
      <c r="S17" s="81"/>
      <c r="T17" s="82"/>
      <c r="U17" s="7"/>
      <c r="V17" s="7"/>
      <c r="W17" s="7"/>
      <c r="X17" s="7"/>
      <c r="Y17" s="7"/>
      <c r="Z17" s="7"/>
    </row>
    <row r="18" spans="1:26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5.75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>
      <c r="A20" s="7"/>
      <c r="B20" s="52" t="s">
        <v>5066</v>
      </c>
      <c r="C20" s="52"/>
      <c r="D20" s="53"/>
      <c r="E20" s="63">
        <v>189393</v>
      </c>
      <c r="F20" s="64"/>
      <c r="G20" s="64"/>
      <c r="H20" s="64"/>
      <c r="I20" s="65"/>
      <c r="J20" s="7"/>
      <c r="K20" s="32" t="s">
        <v>5065</v>
      </c>
      <c r="L20" s="71" t="s">
        <v>5254</v>
      </c>
      <c r="M20" s="72"/>
      <c r="N20" s="72"/>
      <c r="O20" s="72"/>
      <c r="P20" s="72"/>
      <c r="Q20" s="72"/>
      <c r="R20" s="72"/>
      <c r="S20" s="72"/>
      <c r="T20" s="73"/>
      <c r="U20" s="7"/>
      <c r="V20" s="7"/>
      <c r="W20" s="7"/>
      <c r="X20" s="7"/>
      <c r="Y20" s="7"/>
      <c r="Z20" s="7"/>
    </row>
    <row r="21" spans="1:26" ht="4.5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4"/>
      <c r="M21" s="75"/>
      <c r="N21" s="75"/>
      <c r="O21" s="75"/>
      <c r="P21" s="75"/>
      <c r="Q21" s="75"/>
      <c r="R21" s="75"/>
      <c r="S21" s="75"/>
      <c r="T21" s="76"/>
      <c r="U21" s="7"/>
      <c r="V21" s="7"/>
      <c r="W21" s="7"/>
      <c r="X21" s="7"/>
      <c r="Y21" s="7"/>
      <c r="Z21" s="7"/>
    </row>
    <row r="22" spans="1:26">
      <c r="A22" s="7"/>
      <c r="B22" s="52" t="s">
        <v>5067</v>
      </c>
      <c r="C22" s="52"/>
      <c r="D22" s="53"/>
      <c r="E22" s="63">
        <v>10209557</v>
      </c>
      <c r="F22" s="64"/>
      <c r="G22" s="64"/>
      <c r="H22" s="64"/>
      <c r="I22" s="65"/>
      <c r="J22" s="7"/>
      <c r="K22" s="7"/>
      <c r="L22" s="74"/>
      <c r="M22" s="75"/>
      <c r="N22" s="75"/>
      <c r="O22" s="75"/>
      <c r="P22" s="75"/>
      <c r="Q22" s="75"/>
      <c r="R22" s="75"/>
      <c r="S22" s="75"/>
      <c r="T22" s="76"/>
      <c r="U22" s="7"/>
      <c r="V22" s="7"/>
      <c r="W22" s="7"/>
      <c r="X22" s="7"/>
      <c r="Y22" s="7"/>
      <c r="Z22" s="7"/>
    </row>
    <row r="23" spans="1:26" ht="4.5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4"/>
      <c r="M23" s="75"/>
      <c r="N23" s="75"/>
      <c r="O23" s="75"/>
      <c r="P23" s="75"/>
      <c r="Q23" s="75"/>
      <c r="R23" s="75"/>
      <c r="S23" s="75"/>
      <c r="T23" s="76"/>
      <c r="U23" s="7"/>
      <c r="V23" s="7"/>
      <c r="W23" s="7"/>
      <c r="X23" s="7"/>
      <c r="Y23" s="7"/>
      <c r="Z23" s="7"/>
    </row>
    <row r="24" spans="1:26" ht="79.5" customHeight="1">
      <c r="A24" s="7"/>
      <c r="B24" s="66" t="s">
        <v>5068</v>
      </c>
      <c r="C24" s="66"/>
      <c r="D24" s="67"/>
      <c r="E24" s="68" t="s">
        <v>5253</v>
      </c>
      <c r="F24" s="69"/>
      <c r="G24" s="69"/>
      <c r="H24" s="69"/>
      <c r="I24" s="70"/>
      <c r="J24" s="7"/>
      <c r="K24" s="7"/>
      <c r="L24" s="77"/>
      <c r="M24" s="78"/>
      <c r="N24" s="78"/>
      <c r="O24" s="78"/>
      <c r="P24" s="78"/>
      <c r="Q24" s="78"/>
      <c r="R24" s="78"/>
      <c r="S24" s="78"/>
      <c r="T24" s="79"/>
      <c r="U24" s="7"/>
      <c r="V24" s="7"/>
      <c r="W24" s="7"/>
      <c r="X24" s="7"/>
      <c r="Y24" s="7"/>
      <c r="Z24" s="7"/>
    </row>
    <row r="25" spans="1:26" ht="1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>
      <c r="A26" s="7"/>
      <c r="B26" s="42" t="s">
        <v>59</v>
      </c>
      <c r="C26" s="42"/>
      <c r="D26" s="43"/>
      <c r="E26" s="57" t="s">
        <v>5246</v>
      </c>
      <c r="F26" s="58"/>
      <c r="G26" s="58"/>
      <c r="H26" s="58"/>
      <c r="I26" s="59"/>
      <c r="J26" s="7"/>
      <c r="K26" s="7"/>
      <c r="L26" s="25" t="s">
        <v>63</v>
      </c>
      <c r="M26" s="2"/>
      <c r="N26" s="103"/>
      <c r="O26" s="104"/>
      <c r="P26" s="104"/>
      <c r="Q26" s="104"/>
      <c r="R26" s="104"/>
      <c r="S26" s="104"/>
      <c r="T26" s="105"/>
      <c r="U26" s="7"/>
      <c r="V26" s="7"/>
      <c r="W26" s="7"/>
      <c r="X26" s="7"/>
      <c r="Y26" s="7"/>
      <c r="Z26" s="7"/>
    </row>
    <row r="27" spans="1:26" ht="3.75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106"/>
      <c r="O27" s="107"/>
      <c r="P27" s="107"/>
      <c r="Q27" s="107"/>
      <c r="R27" s="107"/>
      <c r="S27" s="107"/>
      <c r="T27" s="108"/>
      <c r="U27" s="7"/>
      <c r="V27" s="7"/>
      <c r="W27" s="7"/>
      <c r="X27" s="7"/>
      <c r="Y27" s="7"/>
      <c r="Z27" s="7"/>
    </row>
    <row r="28" spans="1:26">
      <c r="A28" s="7"/>
      <c r="B28" s="52" t="s">
        <v>61</v>
      </c>
      <c r="C28" s="52"/>
      <c r="D28" s="53"/>
      <c r="E28" s="54">
        <v>41298</v>
      </c>
      <c r="F28" s="55"/>
      <c r="G28" s="55"/>
      <c r="H28" s="55"/>
      <c r="I28" s="56"/>
      <c r="J28" s="7"/>
      <c r="K28" s="7"/>
      <c r="L28" s="7"/>
      <c r="M28" s="7"/>
      <c r="N28" s="106"/>
      <c r="O28" s="107"/>
      <c r="P28" s="107"/>
      <c r="Q28" s="107"/>
      <c r="R28" s="107"/>
      <c r="S28" s="107"/>
      <c r="T28" s="108"/>
      <c r="U28" s="7"/>
      <c r="V28" s="7"/>
      <c r="W28" s="7"/>
      <c r="X28" s="7"/>
      <c r="Y28" s="7"/>
      <c r="Z28" s="7"/>
    </row>
    <row r="29" spans="1:26" ht="4.5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106"/>
      <c r="O29" s="107"/>
      <c r="P29" s="107"/>
      <c r="Q29" s="107"/>
      <c r="R29" s="107"/>
      <c r="S29" s="107"/>
      <c r="T29" s="108"/>
      <c r="U29" s="7"/>
      <c r="V29" s="7"/>
      <c r="W29" s="7"/>
      <c r="X29" s="7"/>
      <c r="Y29" s="7"/>
      <c r="Z29" s="7"/>
    </row>
    <row r="30" spans="1:26">
      <c r="A30" s="7"/>
      <c r="B30" s="52" t="s">
        <v>62</v>
      </c>
      <c r="C30" s="52"/>
      <c r="D30" s="53"/>
      <c r="E30" s="54"/>
      <c r="F30" s="55"/>
      <c r="G30" s="55"/>
      <c r="H30" s="55"/>
      <c r="I30" s="56"/>
      <c r="J30" s="7"/>
      <c r="K30" s="7"/>
      <c r="L30" s="7"/>
      <c r="M30" s="7"/>
      <c r="N30" s="109"/>
      <c r="O30" s="110"/>
      <c r="P30" s="110"/>
      <c r="Q30" s="110"/>
      <c r="R30" s="110"/>
      <c r="S30" s="110"/>
      <c r="T30" s="111"/>
      <c r="U30" s="7"/>
      <c r="V30" s="7"/>
      <c r="W30" s="7"/>
      <c r="X30" s="7"/>
      <c r="Y30" s="7"/>
      <c r="Z30" s="7"/>
    </row>
    <row r="31" spans="1:26" s="4" customFormat="1" ht="12.7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s="4" customFormat="1" ht="12.75">
      <c r="A32" s="3"/>
      <c r="B32" s="6" t="s">
        <v>66</v>
      </c>
      <c r="C32" s="5"/>
      <c r="D32" s="85" t="s">
        <v>67</v>
      </c>
      <c r="E32" s="85"/>
      <c r="F32" s="5"/>
      <c r="G32" s="85" t="s">
        <v>5001</v>
      </c>
      <c r="H32" s="85"/>
      <c r="I32" s="85"/>
      <c r="J32" s="85"/>
      <c r="K32" s="85"/>
      <c r="L32" s="85"/>
      <c r="M32" s="5"/>
      <c r="N32" s="85" t="s">
        <v>5002</v>
      </c>
      <c r="O32" s="85"/>
      <c r="P32" s="5"/>
      <c r="Q32" s="24" t="s">
        <v>5061</v>
      </c>
      <c r="R32" s="5"/>
      <c r="S32" s="100" t="s">
        <v>5003</v>
      </c>
      <c r="T32" s="101"/>
      <c r="U32" s="101"/>
      <c r="V32" s="102"/>
      <c r="W32" s="3"/>
      <c r="X32" s="3"/>
      <c r="Y32" s="3"/>
      <c r="Z32" s="3"/>
    </row>
    <row r="33" spans="1:26" s="4" customFormat="1" ht="2.25" customHeight="1">
      <c r="A33" s="3"/>
      <c r="B33" s="5"/>
      <c r="C33" s="5"/>
      <c r="D33" s="87"/>
      <c r="E33" s="87"/>
      <c r="F33" s="5"/>
      <c r="G33" s="87"/>
      <c r="H33" s="87"/>
      <c r="I33" s="87"/>
      <c r="J33" s="87"/>
      <c r="K33" s="87"/>
      <c r="L33" s="87"/>
      <c r="M33" s="5"/>
      <c r="N33" s="87"/>
      <c r="O33" s="87"/>
      <c r="P33" s="5"/>
      <c r="Q33" s="26"/>
      <c r="R33" s="5"/>
      <c r="S33" s="28"/>
      <c r="T33" s="28"/>
      <c r="U33" s="28"/>
      <c r="V33" s="28"/>
      <c r="W33" s="3"/>
      <c r="X33" s="3"/>
      <c r="Y33" s="3"/>
      <c r="Z33" s="3"/>
    </row>
    <row r="34" spans="1:26" s="4" customFormat="1" ht="12.75" customHeight="1">
      <c r="A34" s="3"/>
      <c r="B34" s="14"/>
      <c r="C34" s="15"/>
      <c r="D34" s="83">
        <v>502177</v>
      </c>
      <c r="E34" s="84"/>
      <c r="F34" s="15"/>
      <c r="G34" s="88" t="str">
        <f>IF(D34="","",IFERROR(VLOOKUP(D34,Items,2,FALSE),"Item Number Invalid"))</f>
        <v>PVM, SPR-327NE-WHT-D AR-S</v>
      </c>
      <c r="H34" s="89"/>
      <c r="I34" s="89"/>
      <c r="J34" s="89"/>
      <c r="K34" s="89"/>
      <c r="L34" s="90"/>
      <c r="M34" s="15"/>
      <c r="N34" s="96">
        <v>8</v>
      </c>
      <c r="O34" s="96"/>
      <c r="P34" s="15"/>
      <c r="Q34" s="33" t="s">
        <v>5088</v>
      </c>
      <c r="R34" s="15"/>
      <c r="S34" s="97"/>
      <c r="T34" s="98"/>
      <c r="U34" s="98"/>
      <c r="V34" s="99"/>
      <c r="W34" s="17" t="str">
        <f>IF(D34&lt;&gt;"",IF(N34="","PLEASE PROVIDE QTY TO SHIP!!!",""),"")</f>
        <v/>
      </c>
      <c r="X34" s="3"/>
      <c r="Y34" s="3"/>
      <c r="Z34" s="3"/>
    </row>
    <row r="35" spans="1:26" s="4" customFormat="1" ht="12.75">
      <c r="A35" s="3"/>
      <c r="B35" s="14"/>
      <c r="C35" s="15"/>
      <c r="D35" s="83">
        <v>502181</v>
      </c>
      <c r="E35" s="84"/>
      <c r="F35" s="15"/>
      <c r="G35" s="88" t="str">
        <f t="shared" ref="G35:G66" si="0">IFERROR(VLOOKUP(D35,Items,2,FALSE),"")</f>
        <v>PVM, SPR-327NE-WHT-D AR-S SH</v>
      </c>
      <c r="H35" s="91"/>
      <c r="I35" s="91"/>
      <c r="J35" s="91"/>
      <c r="K35" s="91"/>
      <c r="L35" s="92"/>
      <c r="M35" s="15"/>
      <c r="N35" s="96">
        <v>5</v>
      </c>
      <c r="O35" s="96"/>
      <c r="P35" s="15"/>
      <c r="Q35" s="40" t="s">
        <v>5088</v>
      </c>
      <c r="R35" s="15"/>
      <c r="S35" s="97"/>
      <c r="T35" s="98"/>
      <c r="U35" s="98"/>
      <c r="V35" s="99"/>
      <c r="W35" s="17" t="str">
        <f t="shared" ref="W35:W98" si="1">IF(D35&lt;&gt;"",IF(N35="","PLEASE PROVIDE QTY TO SHIP!!!",""),"")</f>
        <v/>
      </c>
      <c r="X35" s="3"/>
      <c r="Y35" s="3"/>
      <c r="Z35" s="3"/>
    </row>
    <row r="36" spans="1:26" s="4" customFormat="1" ht="12.75">
      <c r="A36" s="3"/>
      <c r="B36" s="12"/>
      <c r="C36" s="3"/>
      <c r="D36" s="83">
        <v>135780</v>
      </c>
      <c r="E36" s="84"/>
      <c r="F36" s="3"/>
      <c r="G36" s="93" t="str">
        <f t="shared" si="0"/>
        <v>KIT, MOUNTING ITEM, SOLARMOUNT, SPR-SM-4 SM, DARK, 132”</v>
      </c>
      <c r="H36" s="94"/>
      <c r="I36" s="94"/>
      <c r="J36" s="94"/>
      <c r="K36" s="94"/>
      <c r="L36" s="95"/>
      <c r="M36" s="3"/>
      <c r="N36" s="86">
        <v>5</v>
      </c>
      <c r="O36" s="86"/>
      <c r="P36" s="3"/>
      <c r="Q36" s="40" t="s">
        <v>5088</v>
      </c>
      <c r="R36" s="3"/>
      <c r="S36" s="97"/>
      <c r="T36" s="98"/>
      <c r="U36" s="98"/>
      <c r="V36" s="99"/>
      <c r="W36" s="17" t="str">
        <f t="shared" si="1"/>
        <v/>
      </c>
      <c r="X36" s="3"/>
      <c r="Y36" s="3"/>
      <c r="Z36" s="3"/>
    </row>
    <row r="37" spans="1:26" s="4" customFormat="1" ht="12.75">
      <c r="A37" s="3"/>
      <c r="B37" s="12"/>
      <c r="C37" s="3"/>
      <c r="D37" s="83">
        <v>500323</v>
      </c>
      <c r="E37" s="84"/>
      <c r="F37" s="3"/>
      <c r="G37" s="93" t="str">
        <f t="shared" si="0"/>
        <v>INVERTER, SPR-4200p-TL-1, RS485, 10-YEAR WARRANTY</v>
      </c>
      <c r="H37" s="94"/>
      <c r="I37" s="94"/>
      <c r="J37" s="94"/>
      <c r="K37" s="94"/>
      <c r="L37" s="95"/>
      <c r="M37" s="3"/>
      <c r="N37" s="86">
        <v>1</v>
      </c>
      <c r="O37" s="86"/>
      <c r="P37" s="3"/>
      <c r="Q37" s="40" t="s">
        <v>5088</v>
      </c>
      <c r="R37" s="3"/>
      <c r="S37" s="97"/>
      <c r="T37" s="98"/>
      <c r="U37" s="98"/>
      <c r="V37" s="99"/>
      <c r="W37" s="17" t="str">
        <f t="shared" si="1"/>
        <v/>
      </c>
      <c r="X37" s="3"/>
      <c r="Y37" s="3"/>
      <c r="Z37" s="3"/>
    </row>
    <row r="38" spans="1:26" s="4" customFormat="1" ht="12.75">
      <c r="A38" s="3"/>
      <c r="B38" s="12"/>
      <c r="C38" s="3"/>
      <c r="D38" s="83">
        <v>126548</v>
      </c>
      <c r="E38" s="84"/>
      <c r="F38" s="3"/>
      <c r="G38" s="93" t="str">
        <f t="shared" si="0"/>
        <v>MONITORING ITEM, SP-ACC-STD, RESIDENTIAL INSTALL KIT, SMS</v>
      </c>
      <c r="H38" s="94"/>
      <c r="I38" s="94"/>
      <c r="J38" s="94"/>
      <c r="K38" s="94"/>
      <c r="L38" s="95"/>
      <c r="M38" s="3"/>
      <c r="N38" s="86">
        <v>1</v>
      </c>
      <c r="O38" s="86"/>
      <c r="P38" s="3"/>
      <c r="Q38" s="40" t="s">
        <v>5088</v>
      </c>
      <c r="R38" s="3"/>
      <c r="S38" s="97"/>
      <c r="T38" s="98"/>
      <c r="U38" s="98"/>
      <c r="V38" s="99"/>
      <c r="W38" s="17" t="str">
        <f t="shared" si="1"/>
        <v/>
      </c>
      <c r="X38" s="3"/>
      <c r="Y38" s="3"/>
      <c r="Z38" s="3"/>
    </row>
    <row r="39" spans="1:26" s="4" customFormat="1" ht="12.75">
      <c r="A39" s="3"/>
      <c r="B39" s="12"/>
      <c r="C39" s="3"/>
      <c r="D39" s="83">
        <v>126446</v>
      </c>
      <c r="E39" s="84"/>
      <c r="F39" s="3"/>
      <c r="G39" s="93" t="str">
        <f t="shared" si="0"/>
        <v>MONITORING ITEM, SP-ACC-SPRm, 10' RS485 COMM CABLE ACCESSORY KIT, SMS</v>
      </c>
      <c r="H39" s="94"/>
      <c r="I39" s="94"/>
      <c r="J39" s="94"/>
      <c r="K39" s="94"/>
      <c r="L39" s="95"/>
      <c r="M39" s="3"/>
      <c r="N39" s="86">
        <v>1</v>
      </c>
      <c r="O39" s="86"/>
      <c r="P39" s="3"/>
      <c r="Q39" s="40" t="s">
        <v>5088</v>
      </c>
      <c r="R39" s="3"/>
      <c r="S39" s="97"/>
      <c r="T39" s="98"/>
      <c r="U39" s="98"/>
      <c r="V39" s="99"/>
      <c r="W39" s="17" t="str">
        <f t="shared" si="1"/>
        <v/>
      </c>
      <c r="X39" s="3"/>
      <c r="Y39" s="3"/>
      <c r="Z39" s="3"/>
    </row>
    <row r="40" spans="1:26" s="4" customFormat="1" ht="12.75">
      <c r="A40" s="3"/>
      <c r="B40" s="12"/>
      <c r="C40" s="3"/>
      <c r="D40" s="83"/>
      <c r="E40" s="84"/>
      <c r="F40" s="3"/>
      <c r="G40" s="93" t="str">
        <f t="shared" si="0"/>
        <v/>
      </c>
      <c r="H40" s="94"/>
      <c r="I40" s="94"/>
      <c r="J40" s="94"/>
      <c r="K40" s="94"/>
      <c r="L40" s="95"/>
      <c r="M40" s="3"/>
      <c r="N40" s="86"/>
      <c r="O40" s="86"/>
      <c r="P40" s="3"/>
      <c r="Q40" s="29"/>
      <c r="R40" s="3"/>
      <c r="S40" s="97"/>
      <c r="T40" s="98"/>
      <c r="U40" s="98"/>
      <c r="V40" s="99"/>
      <c r="W40" s="17" t="str">
        <f t="shared" si="1"/>
        <v/>
      </c>
      <c r="X40" s="3"/>
      <c r="Y40" s="3"/>
      <c r="Z40" s="3"/>
    </row>
    <row r="41" spans="1:26" s="4" customFormat="1" ht="12.75">
      <c r="A41" s="3"/>
      <c r="B41" s="12"/>
      <c r="C41" s="3"/>
      <c r="D41" s="83"/>
      <c r="E41" s="84"/>
      <c r="F41" s="3"/>
      <c r="G41" s="93" t="str">
        <f t="shared" si="0"/>
        <v/>
      </c>
      <c r="H41" s="94"/>
      <c r="I41" s="94"/>
      <c r="J41" s="94"/>
      <c r="K41" s="94"/>
      <c r="L41" s="95"/>
      <c r="M41" s="3"/>
      <c r="N41" s="86"/>
      <c r="O41" s="86"/>
      <c r="P41" s="3"/>
      <c r="Q41" s="29"/>
      <c r="R41" s="3"/>
      <c r="S41" s="97"/>
      <c r="T41" s="98"/>
      <c r="U41" s="98"/>
      <c r="V41" s="99"/>
      <c r="W41" s="17" t="str">
        <f t="shared" si="1"/>
        <v/>
      </c>
      <c r="X41" s="3"/>
      <c r="Y41" s="3"/>
      <c r="Z41" s="3"/>
    </row>
    <row r="42" spans="1:26" s="4" customFormat="1" ht="12.75">
      <c r="A42" s="3"/>
      <c r="B42" s="12"/>
      <c r="C42" s="3"/>
      <c r="D42" s="83"/>
      <c r="E42" s="84"/>
      <c r="F42" s="3"/>
      <c r="G42" s="93" t="str">
        <f t="shared" si="0"/>
        <v/>
      </c>
      <c r="H42" s="94"/>
      <c r="I42" s="94"/>
      <c r="J42" s="94"/>
      <c r="K42" s="94"/>
      <c r="L42" s="95"/>
      <c r="M42" s="3"/>
      <c r="N42" s="86"/>
      <c r="O42" s="86"/>
      <c r="P42" s="3"/>
      <c r="Q42" s="29"/>
      <c r="R42" s="3"/>
      <c r="S42" s="97"/>
      <c r="T42" s="98"/>
      <c r="U42" s="98"/>
      <c r="V42" s="99"/>
      <c r="W42" s="17" t="str">
        <f t="shared" si="1"/>
        <v/>
      </c>
      <c r="X42" s="3"/>
      <c r="Y42" s="3"/>
      <c r="Z42" s="3"/>
    </row>
    <row r="43" spans="1:26" s="4" customFormat="1" ht="12.75">
      <c r="A43" s="3"/>
      <c r="B43" s="12"/>
      <c r="C43" s="3"/>
      <c r="D43" s="83"/>
      <c r="E43" s="84"/>
      <c r="F43" s="3"/>
      <c r="G43" s="93" t="str">
        <f t="shared" si="0"/>
        <v/>
      </c>
      <c r="H43" s="94"/>
      <c r="I43" s="94"/>
      <c r="J43" s="94"/>
      <c r="K43" s="94"/>
      <c r="L43" s="95"/>
      <c r="M43" s="3"/>
      <c r="N43" s="86"/>
      <c r="O43" s="86"/>
      <c r="P43" s="3"/>
      <c r="Q43" s="29"/>
      <c r="R43" s="3"/>
      <c r="S43" s="97"/>
      <c r="T43" s="98"/>
      <c r="U43" s="98"/>
      <c r="V43" s="99"/>
      <c r="W43" s="17" t="str">
        <f t="shared" si="1"/>
        <v/>
      </c>
      <c r="X43" s="3"/>
      <c r="Y43" s="3"/>
      <c r="Z43" s="3"/>
    </row>
    <row r="44" spans="1:26" s="4" customFormat="1" ht="12.75">
      <c r="A44" s="3"/>
      <c r="B44" s="12"/>
      <c r="C44" s="3"/>
      <c r="D44" s="83"/>
      <c r="E44" s="84"/>
      <c r="F44" s="3"/>
      <c r="G44" s="93" t="str">
        <f t="shared" si="0"/>
        <v/>
      </c>
      <c r="H44" s="94"/>
      <c r="I44" s="94"/>
      <c r="J44" s="94"/>
      <c r="K44" s="94"/>
      <c r="L44" s="95"/>
      <c r="M44" s="3"/>
      <c r="N44" s="86"/>
      <c r="O44" s="86"/>
      <c r="P44" s="3"/>
      <c r="Q44" s="29"/>
      <c r="R44" s="3"/>
      <c r="S44" s="97"/>
      <c r="T44" s="98"/>
      <c r="U44" s="98"/>
      <c r="V44" s="99"/>
      <c r="W44" s="17" t="str">
        <f t="shared" si="1"/>
        <v/>
      </c>
      <c r="X44" s="3"/>
      <c r="Y44" s="3"/>
      <c r="Z44" s="3"/>
    </row>
    <row r="45" spans="1:26" s="4" customFormat="1" ht="12.75">
      <c r="A45" s="3"/>
      <c r="B45" s="12"/>
      <c r="C45" s="3"/>
      <c r="D45" s="86"/>
      <c r="E45" s="86"/>
      <c r="F45" s="3"/>
      <c r="G45" s="93" t="str">
        <f t="shared" si="0"/>
        <v/>
      </c>
      <c r="H45" s="94"/>
      <c r="I45" s="94"/>
      <c r="J45" s="94"/>
      <c r="K45" s="94"/>
      <c r="L45" s="95"/>
      <c r="M45" s="3"/>
      <c r="N45" s="86"/>
      <c r="O45" s="86"/>
      <c r="P45" s="3"/>
      <c r="Q45" s="27"/>
      <c r="R45" s="3"/>
      <c r="S45" s="97"/>
      <c r="T45" s="98"/>
      <c r="U45" s="98"/>
      <c r="V45" s="99"/>
      <c r="W45" s="17" t="str">
        <f t="shared" si="1"/>
        <v/>
      </c>
      <c r="X45" s="3"/>
      <c r="Y45" s="3"/>
      <c r="Z45" s="3"/>
    </row>
    <row r="46" spans="1:26" s="4" customFormat="1" ht="12.75">
      <c r="A46" s="3"/>
      <c r="B46" s="12"/>
      <c r="C46" s="3"/>
      <c r="D46" s="86"/>
      <c r="E46" s="86"/>
      <c r="F46" s="3"/>
      <c r="G46" s="93" t="str">
        <f t="shared" si="0"/>
        <v/>
      </c>
      <c r="H46" s="94"/>
      <c r="I46" s="94"/>
      <c r="J46" s="94"/>
      <c r="K46" s="94"/>
      <c r="L46" s="95"/>
      <c r="M46" s="3"/>
      <c r="N46" s="86"/>
      <c r="O46" s="86"/>
      <c r="P46" s="3"/>
      <c r="Q46" s="27"/>
      <c r="R46" s="3"/>
      <c r="S46" s="97"/>
      <c r="T46" s="98"/>
      <c r="U46" s="98"/>
      <c r="V46" s="99"/>
      <c r="W46" s="17" t="str">
        <f t="shared" si="1"/>
        <v/>
      </c>
      <c r="X46" s="3"/>
      <c r="Y46" s="3"/>
      <c r="Z46" s="3"/>
    </row>
    <row r="47" spans="1:26" s="4" customFormat="1" ht="12.75">
      <c r="A47" s="3"/>
      <c r="B47" s="12"/>
      <c r="C47" s="3"/>
      <c r="D47" s="86"/>
      <c r="E47" s="86"/>
      <c r="F47" s="3"/>
      <c r="G47" s="93" t="str">
        <f t="shared" si="0"/>
        <v/>
      </c>
      <c r="H47" s="94"/>
      <c r="I47" s="94"/>
      <c r="J47" s="94"/>
      <c r="K47" s="94"/>
      <c r="L47" s="95"/>
      <c r="M47" s="3"/>
      <c r="N47" s="86"/>
      <c r="O47" s="86"/>
      <c r="P47" s="3"/>
      <c r="Q47" s="27"/>
      <c r="R47" s="3"/>
      <c r="S47" s="97"/>
      <c r="T47" s="98"/>
      <c r="U47" s="98"/>
      <c r="V47" s="99"/>
      <c r="W47" s="17" t="str">
        <f t="shared" si="1"/>
        <v/>
      </c>
      <c r="X47" s="3"/>
      <c r="Y47" s="3"/>
      <c r="Z47" s="3"/>
    </row>
    <row r="48" spans="1:26" s="4" customFormat="1" ht="12.75">
      <c r="A48" s="3"/>
      <c r="B48" s="12"/>
      <c r="C48" s="3"/>
      <c r="D48" s="86"/>
      <c r="E48" s="86"/>
      <c r="F48" s="3"/>
      <c r="G48" s="93" t="str">
        <f t="shared" si="0"/>
        <v/>
      </c>
      <c r="H48" s="94"/>
      <c r="I48" s="94"/>
      <c r="J48" s="94"/>
      <c r="K48" s="94"/>
      <c r="L48" s="95"/>
      <c r="M48" s="3"/>
      <c r="N48" s="86"/>
      <c r="O48" s="86"/>
      <c r="P48" s="3"/>
      <c r="Q48" s="27"/>
      <c r="R48" s="3"/>
      <c r="S48" s="97"/>
      <c r="T48" s="98"/>
      <c r="U48" s="98"/>
      <c r="V48" s="99"/>
      <c r="W48" s="17" t="str">
        <f t="shared" si="1"/>
        <v/>
      </c>
      <c r="X48" s="3"/>
      <c r="Y48" s="3"/>
      <c r="Z48" s="3"/>
    </row>
    <row r="49" spans="1:26" s="4" customFormat="1" ht="12.75">
      <c r="A49" s="3"/>
      <c r="B49" s="12"/>
      <c r="C49" s="3"/>
      <c r="D49" s="86"/>
      <c r="E49" s="86"/>
      <c r="F49" s="3"/>
      <c r="G49" s="93" t="str">
        <f t="shared" si="0"/>
        <v/>
      </c>
      <c r="H49" s="94"/>
      <c r="I49" s="94"/>
      <c r="J49" s="94"/>
      <c r="K49" s="94"/>
      <c r="L49" s="95"/>
      <c r="M49" s="3"/>
      <c r="N49" s="86"/>
      <c r="O49" s="86"/>
      <c r="P49" s="3"/>
      <c r="Q49" s="27"/>
      <c r="R49" s="3"/>
      <c r="S49" s="97"/>
      <c r="T49" s="98"/>
      <c r="U49" s="98"/>
      <c r="V49" s="99"/>
      <c r="W49" s="17" t="str">
        <f t="shared" si="1"/>
        <v/>
      </c>
      <c r="X49" s="3"/>
      <c r="Y49" s="3"/>
      <c r="Z49" s="3"/>
    </row>
    <row r="50" spans="1:26" s="4" customFormat="1" ht="12.75">
      <c r="A50" s="3"/>
      <c r="B50" s="12"/>
      <c r="C50" s="3"/>
      <c r="D50" s="86"/>
      <c r="E50" s="86"/>
      <c r="F50" s="3"/>
      <c r="G50" s="93" t="str">
        <f t="shared" si="0"/>
        <v/>
      </c>
      <c r="H50" s="94"/>
      <c r="I50" s="94"/>
      <c r="J50" s="94"/>
      <c r="K50" s="94"/>
      <c r="L50" s="95"/>
      <c r="M50" s="3"/>
      <c r="N50" s="86"/>
      <c r="O50" s="86"/>
      <c r="P50" s="3"/>
      <c r="Q50" s="27"/>
      <c r="R50" s="3"/>
      <c r="S50" s="97"/>
      <c r="T50" s="98"/>
      <c r="U50" s="98"/>
      <c r="V50" s="99"/>
      <c r="W50" s="17" t="str">
        <f t="shared" si="1"/>
        <v/>
      </c>
      <c r="X50" s="3"/>
      <c r="Y50" s="3"/>
      <c r="Z50" s="3"/>
    </row>
    <row r="51" spans="1:26" s="4" customFormat="1" ht="12.75">
      <c r="A51" s="3"/>
      <c r="B51" s="12"/>
      <c r="C51" s="3"/>
      <c r="D51" s="86"/>
      <c r="E51" s="86"/>
      <c r="F51" s="3"/>
      <c r="G51" s="93" t="str">
        <f t="shared" si="0"/>
        <v/>
      </c>
      <c r="H51" s="94"/>
      <c r="I51" s="94"/>
      <c r="J51" s="94"/>
      <c r="K51" s="94"/>
      <c r="L51" s="95"/>
      <c r="M51" s="3"/>
      <c r="N51" s="86"/>
      <c r="O51" s="86"/>
      <c r="P51" s="3"/>
      <c r="Q51" s="27"/>
      <c r="R51" s="3"/>
      <c r="S51" s="97"/>
      <c r="T51" s="98"/>
      <c r="U51" s="98"/>
      <c r="V51" s="99"/>
      <c r="W51" s="17" t="str">
        <f t="shared" si="1"/>
        <v/>
      </c>
      <c r="X51" s="3"/>
      <c r="Y51" s="3"/>
      <c r="Z51" s="3"/>
    </row>
    <row r="52" spans="1:26" s="4" customFormat="1" ht="12.75">
      <c r="A52" s="3"/>
      <c r="B52" s="12"/>
      <c r="C52" s="3"/>
      <c r="D52" s="86"/>
      <c r="E52" s="86"/>
      <c r="F52" s="3"/>
      <c r="G52" s="93" t="str">
        <f t="shared" si="0"/>
        <v/>
      </c>
      <c r="H52" s="94"/>
      <c r="I52" s="94"/>
      <c r="J52" s="94"/>
      <c r="K52" s="94"/>
      <c r="L52" s="95"/>
      <c r="M52" s="3"/>
      <c r="N52" s="86"/>
      <c r="O52" s="86"/>
      <c r="P52" s="3"/>
      <c r="Q52" s="27"/>
      <c r="R52" s="3"/>
      <c r="S52" s="97"/>
      <c r="T52" s="98"/>
      <c r="U52" s="98"/>
      <c r="V52" s="99"/>
      <c r="W52" s="17" t="str">
        <f t="shared" si="1"/>
        <v/>
      </c>
      <c r="X52" s="3"/>
      <c r="Y52" s="3"/>
      <c r="Z52" s="3"/>
    </row>
    <row r="53" spans="1:26" s="4" customFormat="1" ht="12.75">
      <c r="A53" s="3"/>
      <c r="B53" s="12"/>
      <c r="C53" s="3"/>
      <c r="D53" s="86"/>
      <c r="E53" s="86"/>
      <c r="F53" s="3"/>
      <c r="G53" s="93" t="str">
        <f t="shared" si="0"/>
        <v/>
      </c>
      <c r="H53" s="94"/>
      <c r="I53" s="94"/>
      <c r="J53" s="94"/>
      <c r="K53" s="94"/>
      <c r="L53" s="95"/>
      <c r="M53" s="3"/>
      <c r="N53" s="86"/>
      <c r="O53" s="86"/>
      <c r="P53" s="3"/>
      <c r="Q53" s="27"/>
      <c r="R53" s="3"/>
      <c r="S53" s="97"/>
      <c r="T53" s="98"/>
      <c r="U53" s="98"/>
      <c r="V53" s="99"/>
      <c r="W53" s="17" t="str">
        <f t="shared" si="1"/>
        <v/>
      </c>
      <c r="X53" s="3"/>
      <c r="Y53" s="3"/>
      <c r="Z53" s="3"/>
    </row>
    <row r="54" spans="1:26" s="4" customFormat="1" ht="12.75">
      <c r="A54" s="3"/>
      <c r="B54" s="12"/>
      <c r="C54" s="3"/>
      <c r="D54" s="86"/>
      <c r="E54" s="86"/>
      <c r="F54" s="3"/>
      <c r="G54" s="93" t="str">
        <f t="shared" si="0"/>
        <v/>
      </c>
      <c r="H54" s="94"/>
      <c r="I54" s="94"/>
      <c r="J54" s="94"/>
      <c r="K54" s="94"/>
      <c r="L54" s="95"/>
      <c r="M54" s="3"/>
      <c r="N54" s="86"/>
      <c r="O54" s="86"/>
      <c r="P54" s="3"/>
      <c r="Q54" s="27"/>
      <c r="R54" s="3"/>
      <c r="S54" s="97"/>
      <c r="T54" s="98"/>
      <c r="U54" s="98"/>
      <c r="V54" s="99"/>
      <c r="W54" s="17" t="str">
        <f t="shared" si="1"/>
        <v/>
      </c>
      <c r="X54" s="3"/>
      <c r="Y54" s="3"/>
      <c r="Z54" s="3"/>
    </row>
    <row r="55" spans="1:26" s="4" customFormat="1" ht="12.75">
      <c r="A55" s="3"/>
      <c r="B55" s="12"/>
      <c r="C55" s="3"/>
      <c r="D55" s="86"/>
      <c r="E55" s="86"/>
      <c r="F55" s="3"/>
      <c r="G55" s="93" t="str">
        <f t="shared" si="0"/>
        <v/>
      </c>
      <c r="H55" s="94"/>
      <c r="I55" s="94"/>
      <c r="J55" s="94"/>
      <c r="K55" s="94"/>
      <c r="L55" s="95"/>
      <c r="M55" s="3"/>
      <c r="N55" s="86"/>
      <c r="O55" s="86"/>
      <c r="P55" s="3"/>
      <c r="Q55" s="27"/>
      <c r="R55" s="3"/>
      <c r="S55" s="97"/>
      <c r="T55" s="98"/>
      <c r="U55" s="98"/>
      <c r="V55" s="99"/>
      <c r="W55" s="17" t="str">
        <f t="shared" si="1"/>
        <v/>
      </c>
      <c r="X55" s="3"/>
      <c r="Y55" s="3"/>
      <c r="Z55" s="3"/>
    </row>
    <row r="56" spans="1:26" s="4" customFormat="1" ht="12.75">
      <c r="A56" s="3"/>
      <c r="B56" s="12"/>
      <c r="C56" s="3"/>
      <c r="D56" s="86"/>
      <c r="E56" s="86"/>
      <c r="F56" s="3"/>
      <c r="G56" s="93" t="str">
        <f t="shared" si="0"/>
        <v/>
      </c>
      <c r="H56" s="94"/>
      <c r="I56" s="94"/>
      <c r="J56" s="94"/>
      <c r="K56" s="94"/>
      <c r="L56" s="95"/>
      <c r="M56" s="3"/>
      <c r="N56" s="86"/>
      <c r="O56" s="86"/>
      <c r="P56" s="3"/>
      <c r="Q56" s="27"/>
      <c r="R56" s="3"/>
      <c r="S56" s="97"/>
      <c r="T56" s="98"/>
      <c r="U56" s="98"/>
      <c r="V56" s="99"/>
      <c r="W56" s="17" t="str">
        <f t="shared" si="1"/>
        <v/>
      </c>
      <c r="X56" s="3"/>
      <c r="Y56" s="3"/>
      <c r="Z56" s="3"/>
    </row>
    <row r="57" spans="1:26" s="4" customFormat="1" ht="12.75">
      <c r="A57" s="3"/>
      <c r="B57" s="12"/>
      <c r="C57" s="3"/>
      <c r="D57" s="86"/>
      <c r="E57" s="86"/>
      <c r="F57" s="3"/>
      <c r="G57" s="93" t="str">
        <f t="shared" si="0"/>
        <v/>
      </c>
      <c r="H57" s="94"/>
      <c r="I57" s="94"/>
      <c r="J57" s="94"/>
      <c r="K57" s="94"/>
      <c r="L57" s="95"/>
      <c r="M57" s="3"/>
      <c r="N57" s="86"/>
      <c r="O57" s="86"/>
      <c r="P57" s="3"/>
      <c r="Q57" s="27"/>
      <c r="R57" s="3"/>
      <c r="S57" s="97"/>
      <c r="T57" s="98"/>
      <c r="U57" s="98"/>
      <c r="V57" s="99"/>
      <c r="W57" s="17" t="str">
        <f t="shared" si="1"/>
        <v/>
      </c>
      <c r="X57" s="3"/>
      <c r="Y57" s="3"/>
      <c r="Z57" s="3"/>
    </row>
    <row r="58" spans="1:26" s="4" customFormat="1" ht="12.75">
      <c r="A58" s="3"/>
      <c r="B58" s="12"/>
      <c r="C58" s="3"/>
      <c r="D58" s="86"/>
      <c r="E58" s="86"/>
      <c r="F58" s="3"/>
      <c r="G58" s="93" t="str">
        <f t="shared" si="0"/>
        <v/>
      </c>
      <c r="H58" s="94"/>
      <c r="I58" s="94"/>
      <c r="J58" s="94"/>
      <c r="K58" s="94"/>
      <c r="L58" s="95"/>
      <c r="M58" s="3"/>
      <c r="N58" s="86"/>
      <c r="O58" s="86"/>
      <c r="P58" s="3"/>
      <c r="Q58" s="27"/>
      <c r="R58" s="3"/>
      <c r="S58" s="97"/>
      <c r="T58" s="98"/>
      <c r="U58" s="98"/>
      <c r="V58" s="99"/>
      <c r="W58" s="17" t="str">
        <f t="shared" si="1"/>
        <v/>
      </c>
      <c r="X58" s="3"/>
      <c r="Y58" s="3"/>
      <c r="Z58" s="3"/>
    </row>
    <row r="59" spans="1:26" s="4" customFormat="1" ht="12.75">
      <c r="A59" s="3"/>
      <c r="B59" s="12"/>
      <c r="C59" s="3"/>
      <c r="D59" s="86"/>
      <c r="E59" s="86"/>
      <c r="F59" s="3"/>
      <c r="G59" s="93" t="str">
        <f t="shared" si="0"/>
        <v/>
      </c>
      <c r="H59" s="94"/>
      <c r="I59" s="94"/>
      <c r="J59" s="94"/>
      <c r="K59" s="94"/>
      <c r="L59" s="95"/>
      <c r="M59" s="3"/>
      <c r="N59" s="86"/>
      <c r="O59" s="86"/>
      <c r="P59" s="3"/>
      <c r="Q59" s="27"/>
      <c r="R59" s="3"/>
      <c r="S59" s="97"/>
      <c r="T59" s="98"/>
      <c r="U59" s="98"/>
      <c r="V59" s="99"/>
      <c r="W59" s="17" t="str">
        <f t="shared" si="1"/>
        <v/>
      </c>
      <c r="X59" s="3"/>
      <c r="Y59" s="3"/>
      <c r="Z59" s="3"/>
    </row>
    <row r="60" spans="1:26" s="4" customFormat="1" ht="12.75">
      <c r="A60" s="3"/>
      <c r="B60" s="12"/>
      <c r="C60" s="3"/>
      <c r="D60" s="86"/>
      <c r="E60" s="86"/>
      <c r="F60" s="3"/>
      <c r="G60" s="93" t="str">
        <f t="shared" si="0"/>
        <v/>
      </c>
      <c r="H60" s="94"/>
      <c r="I60" s="94"/>
      <c r="J60" s="94"/>
      <c r="K60" s="94"/>
      <c r="L60" s="95"/>
      <c r="M60" s="3"/>
      <c r="N60" s="86"/>
      <c r="O60" s="86"/>
      <c r="P60" s="3"/>
      <c r="Q60" s="27"/>
      <c r="R60" s="3"/>
      <c r="S60" s="97"/>
      <c r="T60" s="98"/>
      <c r="U60" s="98"/>
      <c r="V60" s="99"/>
      <c r="W60" s="17" t="str">
        <f t="shared" si="1"/>
        <v/>
      </c>
      <c r="X60" s="3"/>
      <c r="Y60" s="3"/>
      <c r="Z60" s="3"/>
    </row>
    <row r="61" spans="1:26" s="4" customFormat="1" ht="12.75">
      <c r="A61" s="3"/>
      <c r="B61" s="12"/>
      <c r="C61" s="3"/>
      <c r="D61" s="86"/>
      <c r="E61" s="86"/>
      <c r="F61" s="3"/>
      <c r="G61" s="93" t="str">
        <f t="shared" si="0"/>
        <v/>
      </c>
      <c r="H61" s="94"/>
      <c r="I61" s="94"/>
      <c r="J61" s="94"/>
      <c r="K61" s="94"/>
      <c r="L61" s="95"/>
      <c r="M61" s="3"/>
      <c r="N61" s="86"/>
      <c r="O61" s="86"/>
      <c r="P61" s="3"/>
      <c r="Q61" s="27"/>
      <c r="R61" s="3"/>
      <c r="S61" s="97"/>
      <c r="T61" s="98"/>
      <c r="U61" s="98"/>
      <c r="V61" s="99"/>
      <c r="W61" s="17" t="str">
        <f t="shared" si="1"/>
        <v/>
      </c>
      <c r="X61" s="3"/>
      <c r="Y61" s="3"/>
      <c r="Z61" s="3"/>
    </row>
    <row r="62" spans="1:26" s="4" customFormat="1" ht="12.75">
      <c r="A62" s="3"/>
      <c r="B62" s="12"/>
      <c r="C62" s="3"/>
      <c r="D62" s="86"/>
      <c r="E62" s="86"/>
      <c r="F62" s="3"/>
      <c r="G62" s="93" t="str">
        <f t="shared" si="0"/>
        <v/>
      </c>
      <c r="H62" s="94"/>
      <c r="I62" s="94"/>
      <c r="J62" s="94"/>
      <c r="K62" s="94"/>
      <c r="L62" s="95"/>
      <c r="M62" s="3"/>
      <c r="N62" s="86"/>
      <c r="O62" s="86"/>
      <c r="P62" s="3"/>
      <c r="Q62" s="27"/>
      <c r="R62" s="3"/>
      <c r="S62" s="97"/>
      <c r="T62" s="98"/>
      <c r="U62" s="98"/>
      <c r="V62" s="99"/>
      <c r="W62" s="17" t="str">
        <f t="shared" si="1"/>
        <v/>
      </c>
      <c r="X62" s="3"/>
      <c r="Y62" s="3"/>
      <c r="Z62" s="3"/>
    </row>
    <row r="63" spans="1:26" s="4" customFormat="1" ht="12.75">
      <c r="A63" s="3"/>
      <c r="B63" s="12"/>
      <c r="C63" s="3"/>
      <c r="D63" s="86"/>
      <c r="E63" s="86"/>
      <c r="F63" s="3"/>
      <c r="G63" s="93" t="str">
        <f t="shared" si="0"/>
        <v/>
      </c>
      <c r="H63" s="94"/>
      <c r="I63" s="94"/>
      <c r="J63" s="94"/>
      <c r="K63" s="94"/>
      <c r="L63" s="95"/>
      <c r="M63" s="3"/>
      <c r="N63" s="86"/>
      <c r="O63" s="86"/>
      <c r="P63" s="3"/>
      <c r="Q63" s="27"/>
      <c r="R63" s="3"/>
      <c r="S63" s="97"/>
      <c r="T63" s="98"/>
      <c r="U63" s="98"/>
      <c r="V63" s="99"/>
      <c r="W63" s="17" t="str">
        <f t="shared" si="1"/>
        <v/>
      </c>
      <c r="X63" s="3"/>
      <c r="Y63" s="3"/>
      <c r="Z63" s="3"/>
    </row>
    <row r="64" spans="1:26" s="4" customFormat="1" ht="12.75">
      <c r="A64" s="3"/>
      <c r="B64" s="12"/>
      <c r="C64" s="3"/>
      <c r="D64" s="86"/>
      <c r="E64" s="86"/>
      <c r="F64" s="3"/>
      <c r="G64" s="93" t="str">
        <f t="shared" si="0"/>
        <v/>
      </c>
      <c r="H64" s="94"/>
      <c r="I64" s="94"/>
      <c r="J64" s="94"/>
      <c r="K64" s="94"/>
      <c r="L64" s="95"/>
      <c r="M64" s="3"/>
      <c r="N64" s="86"/>
      <c r="O64" s="86"/>
      <c r="P64" s="3"/>
      <c r="Q64" s="27"/>
      <c r="R64" s="3"/>
      <c r="S64" s="97"/>
      <c r="T64" s="98"/>
      <c r="U64" s="98"/>
      <c r="V64" s="99"/>
      <c r="W64" s="17" t="str">
        <f t="shared" si="1"/>
        <v/>
      </c>
      <c r="X64" s="3"/>
      <c r="Y64" s="3"/>
      <c r="Z64" s="3"/>
    </row>
    <row r="65" spans="1:26" s="4" customFormat="1" ht="12.75">
      <c r="A65" s="3"/>
      <c r="B65" s="12"/>
      <c r="C65" s="3"/>
      <c r="D65" s="86"/>
      <c r="E65" s="86"/>
      <c r="F65" s="3"/>
      <c r="G65" s="93" t="str">
        <f t="shared" si="0"/>
        <v/>
      </c>
      <c r="H65" s="94"/>
      <c r="I65" s="94"/>
      <c r="J65" s="94"/>
      <c r="K65" s="94"/>
      <c r="L65" s="95"/>
      <c r="M65" s="3"/>
      <c r="N65" s="86"/>
      <c r="O65" s="86"/>
      <c r="P65" s="3"/>
      <c r="Q65" s="27"/>
      <c r="R65" s="3"/>
      <c r="S65" s="97"/>
      <c r="T65" s="98"/>
      <c r="U65" s="98"/>
      <c r="V65" s="99"/>
      <c r="W65" s="17" t="str">
        <f t="shared" si="1"/>
        <v/>
      </c>
      <c r="X65" s="3"/>
      <c r="Y65" s="3"/>
      <c r="Z65" s="3"/>
    </row>
    <row r="66" spans="1:26" s="4" customFormat="1" ht="12.75">
      <c r="A66" s="3"/>
      <c r="B66" s="12"/>
      <c r="C66" s="3"/>
      <c r="D66" s="86"/>
      <c r="E66" s="86"/>
      <c r="F66" s="3"/>
      <c r="G66" s="93" t="str">
        <f t="shared" si="0"/>
        <v/>
      </c>
      <c r="H66" s="94"/>
      <c r="I66" s="94"/>
      <c r="J66" s="94"/>
      <c r="K66" s="94"/>
      <c r="L66" s="95"/>
      <c r="M66" s="3"/>
      <c r="N66" s="86"/>
      <c r="O66" s="86"/>
      <c r="P66" s="3"/>
      <c r="Q66" s="27"/>
      <c r="R66" s="3"/>
      <c r="S66" s="97"/>
      <c r="T66" s="98"/>
      <c r="U66" s="98"/>
      <c r="V66" s="99"/>
      <c r="W66" s="17" t="str">
        <f t="shared" si="1"/>
        <v/>
      </c>
      <c r="X66" s="3"/>
      <c r="Y66" s="3"/>
      <c r="Z66" s="3"/>
    </row>
    <row r="67" spans="1:26" s="4" customFormat="1" ht="12.75">
      <c r="A67" s="3"/>
      <c r="B67" s="12"/>
      <c r="C67" s="3"/>
      <c r="D67" s="86"/>
      <c r="E67" s="86"/>
      <c r="F67" s="3"/>
      <c r="G67" s="93" t="str">
        <f t="shared" ref="G67:G98" si="2">IFERROR(VLOOKUP(D67,Items,2,FALSE),"")</f>
        <v/>
      </c>
      <c r="H67" s="94"/>
      <c r="I67" s="94"/>
      <c r="J67" s="94"/>
      <c r="K67" s="94"/>
      <c r="L67" s="95"/>
      <c r="M67" s="3"/>
      <c r="N67" s="86"/>
      <c r="O67" s="86"/>
      <c r="P67" s="3"/>
      <c r="Q67" s="27"/>
      <c r="R67" s="3"/>
      <c r="S67" s="97"/>
      <c r="T67" s="98"/>
      <c r="U67" s="98"/>
      <c r="V67" s="99"/>
      <c r="W67" s="17" t="str">
        <f t="shared" si="1"/>
        <v/>
      </c>
      <c r="X67" s="3"/>
      <c r="Y67" s="3"/>
      <c r="Z67" s="3"/>
    </row>
    <row r="68" spans="1:26" s="4" customFormat="1" ht="12.75">
      <c r="A68" s="3"/>
      <c r="B68" s="12"/>
      <c r="C68" s="3"/>
      <c r="D68" s="86"/>
      <c r="E68" s="86"/>
      <c r="F68" s="3"/>
      <c r="G68" s="93" t="str">
        <f t="shared" si="2"/>
        <v/>
      </c>
      <c r="H68" s="94"/>
      <c r="I68" s="94"/>
      <c r="J68" s="94"/>
      <c r="K68" s="94"/>
      <c r="L68" s="95"/>
      <c r="M68" s="3"/>
      <c r="N68" s="86"/>
      <c r="O68" s="86"/>
      <c r="P68" s="3"/>
      <c r="Q68" s="27"/>
      <c r="R68" s="3"/>
      <c r="S68" s="97"/>
      <c r="T68" s="98"/>
      <c r="U68" s="98"/>
      <c r="V68" s="99"/>
      <c r="W68" s="17" t="str">
        <f t="shared" si="1"/>
        <v/>
      </c>
      <c r="X68" s="3"/>
      <c r="Y68" s="3"/>
      <c r="Z68" s="3"/>
    </row>
    <row r="69" spans="1:26" s="4" customFormat="1" ht="12.75">
      <c r="A69" s="3"/>
      <c r="B69" s="12"/>
      <c r="C69" s="3"/>
      <c r="D69" s="86"/>
      <c r="E69" s="86"/>
      <c r="F69" s="3"/>
      <c r="G69" s="93" t="str">
        <f t="shared" si="2"/>
        <v/>
      </c>
      <c r="H69" s="94"/>
      <c r="I69" s="94"/>
      <c r="J69" s="94"/>
      <c r="K69" s="94"/>
      <c r="L69" s="95"/>
      <c r="M69" s="3"/>
      <c r="N69" s="86"/>
      <c r="O69" s="86"/>
      <c r="P69" s="3"/>
      <c r="Q69" s="27"/>
      <c r="R69" s="3"/>
      <c r="S69" s="97"/>
      <c r="T69" s="98"/>
      <c r="U69" s="98"/>
      <c r="V69" s="99"/>
      <c r="W69" s="17" t="str">
        <f t="shared" si="1"/>
        <v/>
      </c>
      <c r="X69" s="3"/>
      <c r="Y69" s="3"/>
      <c r="Z69" s="3"/>
    </row>
    <row r="70" spans="1:26" s="4" customFormat="1" ht="12.75">
      <c r="A70" s="3"/>
      <c r="B70" s="12"/>
      <c r="C70" s="3"/>
      <c r="D70" s="86"/>
      <c r="E70" s="86"/>
      <c r="F70" s="3"/>
      <c r="G70" s="93" t="str">
        <f t="shared" si="2"/>
        <v/>
      </c>
      <c r="H70" s="94"/>
      <c r="I70" s="94"/>
      <c r="J70" s="94"/>
      <c r="K70" s="94"/>
      <c r="L70" s="95"/>
      <c r="M70" s="3"/>
      <c r="N70" s="86"/>
      <c r="O70" s="86"/>
      <c r="P70" s="3"/>
      <c r="Q70" s="27"/>
      <c r="R70" s="3"/>
      <c r="S70" s="97"/>
      <c r="T70" s="98"/>
      <c r="U70" s="98"/>
      <c r="V70" s="99"/>
      <c r="W70" s="17" t="str">
        <f t="shared" si="1"/>
        <v/>
      </c>
      <c r="X70" s="3"/>
      <c r="Y70" s="3"/>
      <c r="Z70" s="3"/>
    </row>
    <row r="71" spans="1:26" s="4" customFormat="1" ht="12.75">
      <c r="A71" s="3"/>
      <c r="B71" s="12"/>
      <c r="C71" s="3"/>
      <c r="D71" s="86"/>
      <c r="E71" s="86"/>
      <c r="F71" s="3"/>
      <c r="G71" s="93" t="str">
        <f t="shared" si="2"/>
        <v/>
      </c>
      <c r="H71" s="94"/>
      <c r="I71" s="94"/>
      <c r="J71" s="94"/>
      <c r="K71" s="94"/>
      <c r="L71" s="95"/>
      <c r="M71" s="3"/>
      <c r="N71" s="86"/>
      <c r="O71" s="86"/>
      <c r="P71" s="3"/>
      <c r="Q71" s="27"/>
      <c r="R71" s="3"/>
      <c r="S71" s="97"/>
      <c r="T71" s="98"/>
      <c r="U71" s="98"/>
      <c r="V71" s="99"/>
      <c r="W71" s="17" t="str">
        <f t="shared" si="1"/>
        <v/>
      </c>
      <c r="X71" s="3"/>
      <c r="Y71" s="3"/>
      <c r="Z71" s="3"/>
    </row>
    <row r="72" spans="1:26" s="4" customFormat="1" ht="12.75">
      <c r="A72" s="3"/>
      <c r="B72" s="12"/>
      <c r="C72" s="3"/>
      <c r="D72" s="86"/>
      <c r="E72" s="86"/>
      <c r="F72" s="3"/>
      <c r="G72" s="93" t="str">
        <f t="shared" si="2"/>
        <v/>
      </c>
      <c r="H72" s="94"/>
      <c r="I72" s="94"/>
      <c r="J72" s="94"/>
      <c r="K72" s="94"/>
      <c r="L72" s="95"/>
      <c r="M72" s="3"/>
      <c r="N72" s="86"/>
      <c r="O72" s="86"/>
      <c r="P72" s="3"/>
      <c r="Q72" s="27"/>
      <c r="R72" s="3"/>
      <c r="S72" s="97"/>
      <c r="T72" s="98"/>
      <c r="U72" s="98"/>
      <c r="V72" s="99"/>
      <c r="W72" s="17" t="str">
        <f t="shared" si="1"/>
        <v/>
      </c>
      <c r="X72" s="3"/>
      <c r="Y72" s="3"/>
      <c r="Z72" s="3"/>
    </row>
    <row r="73" spans="1:26" s="4" customFormat="1" ht="12.75">
      <c r="A73" s="3"/>
      <c r="B73" s="12"/>
      <c r="C73" s="3"/>
      <c r="D73" s="86"/>
      <c r="E73" s="86"/>
      <c r="F73" s="3"/>
      <c r="G73" s="93" t="str">
        <f t="shared" si="2"/>
        <v/>
      </c>
      <c r="H73" s="94"/>
      <c r="I73" s="94"/>
      <c r="J73" s="94"/>
      <c r="K73" s="94"/>
      <c r="L73" s="95"/>
      <c r="M73" s="3"/>
      <c r="N73" s="86"/>
      <c r="O73" s="86"/>
      <c r="P73" s="3"/>
      <c r="Q73" s="27"/>
      <c r="R73" s="3"/>
      <c r="S73" s="97"/>
      <c r="T73" s="98"/>
      <c r="U73" s="98"/>
      <c r="V73" s="99"/>
      <c r="W73" s="17" t="str">
        <f t="shared" si="1"/>
        <v/>
      </c>
      <c r="X73" s="3"/>
      <c r="Y73" s="3"/>
      <c r="Z73" s="3"/>
    </row>
    <row r="74" spans="1:26" s="4" customFormat="1" ht="12.75">
      <c r="A74" s="3"/>
      <c r="B74" s="12"/>
      <c r="C74" s="3"/>
      <c r="D74" s="86"/>
      <c r="E74" s="86"/>
      <c r="F74" s="3"/>
      <c r="G74" s="93" t="str">
        <f t="shared" si="2"/>
        <v/>
      </c>
      <c r="H74" s="94"/>
      <c r="I74" s="94"/>
      <c r="J74" s="94"/>
      <c r="K74" s="94"/>
      <c r="L74" s="95"/>
      <c r="M74" s="3"/>
      <c r="N74" s="86"/>
      <c r="O74" s="86"/>
      <c r="P74" s="3"/>
      <c r="Q74" s="27"/>
      <c r="R74" s="3"/>
      <c r="S74" s="97"/>
      <c r="T74" s="98"/>
      <c r="U74" s="98"/>
      <c r="V74" s="99"/>
      <c r="W74" s="17" t="str">
        <f t="shared" si="1"/>
        <v/>
      </c>
      <c r="X74" s="3"/>
      <c r="Y74" s="3"/>
      <c r="Z74" s="3"/>
    </row>
    <row r="75" spans="1:26" s="4" customFormat="1" ht="12.75">
      <c r="A75" s="3"/>
      <c r="B75" s="12"/>
      <c r="C75" s="3"/>
      <c r="D75" s="86"/>
      <c r="E75" s="86"/>
      <c r="F75" s="3"/>
      <c r="G75" s="93" t="str">
        <f t="shared" si="2"/>
        <v/>
      </c>
      <c r="H75" s="94"/>
      <c r="I75" s="94"/>
      <c r="J75" s="94"/>
      <c r="K75" s="94"/>
      <c r="L75" s="95"/>
      <c r="M75" s="3"/>
      <c r="N75" s="86"/>
      <c r="O75" s="86"/>
      <c r="P75" s="3"/>
      <c r="Q75" s="27"/>
      <c r="R75" s="3"/>
      <c r="S75" s="97"/>
      <c r="T75" s="98"/>
      <c r="U75" s="98"/>
      <c r="V75" s="99"/>
      <c r="W75" s="17" t="str">
        <f t="shared" si="1"/>
        <v/>
      </c>
      <c r="X75" s="3"/>
      <c r="Y75" s="3"/>
      <c r="Z75" s="3"/>
    </row>
    <row r="76" spans="1:26" s="4" customFormat="1" ht="12.75">
      <c r="A76" s="3"/>
      <c r="B76" s="12"/>
      <c r="C76" s="3"/>
      <c r="D76" s="86"/>
      <c r="E76" s="86"/>
      <c r="F76" s="3"/>
      <c r="G76" s="93" t="str">
        <f t="shared" si="2"/>
        <v/>
      </c>
      <c r="H76" s="94"/>
      <c r="I76" s="94"/>
      <c r="J76" s="94"/>
      <c r="K76" s="94"/>
      <c r="L76" s="95"/>
      <c r="M76" s="3"/>
      <c r="N76" s="86"/>
      <c r="O76" s="86"/>
      <c r="P76" s="3"/>
      <c r="Q76" s="27"/>
      <c r="R76" s="3"/>
      <c r="S76" s="97"/>
      <c r="T76" s="98"/>
      <c r="U76" s="98"/>
      <c r="V76" s="99"/>
      <c r="W76" s="17" t="str">
        <f t="shared" si="1"/>
        <v/>
      </c>
      <c r="X76" s="3"/>
      <c r="Y76" s="3"/>
      <c r="Z76" s="3"/>
    </row>
    <row r="77" spans="1:26" s="4" customFormat="1" ht="12.75">
      <c r="A77" s="3"/>
      <c r="B77" s="12"/>
      <c r="C77" s="3"/>
      <c r="D77" s="86"/>
      <c r="E77" s="86"/>
      <c r="F77" s="3"/>
      <c r="G77" s="93" t="str">
        <f t="shared" si="2"/>
        <v/>
      </c>
      <c r="H77" s="94"/>
      <c r="I77" s="94"/>
      <c r="J77" s="94"/>
      <c r="K77" s="94"/>
      <c r="L77" s="95"/>
      <c r="M77" s="3"/>
      <c r="N77" s="86"/>
      <c r="O77" s="86"/>
      <c r="P77" s="3"/>
      <c r="Q77" s="27"/>
      <c r="R77" s="3"/>
      <c r="S77" s="97"/>
      <c r="T77" s="98"/>
      <c r="U77" s="98"/>
      <c r="V77" s="99"/>
      <c r="W77" s="17" t="str">
        <f t="shared" si="1"/>
        <v/>
      </c>
      <c r="X77" s="3"/>
      <c r="Y77" s="3"/>
      <c r="Z77" s="3"/>
    </row>
    <row r="78" spans="1:26" s="4" customFormat="1" ht="12.75">
      <c r="A78" s="3"/>
      <c r="B78" s="12"/>
      <c r="C78" s="3"/>
      <c r="D78" s="86"/>
      <c r="E78" s="86"/>
      <c r="F78" s="3"/>
      <c r="G78" s="93" t="str">
        <f t="shared" si="2"/>
        <v/>
      </c>
      <c r="H78" s="94"/>
      <c r="I78" s="94"/>
      <c r="J78" s="94"/>
      <c r="K78" s="94"/>
      <c r="L78" s="95"/>
      <c r="M78" s="3"/>
      <c r="N78" s="86"/>
      <c r="O78" s="86"/>
      <c r="P78" s="3"/>
      <c r="Q78" s="27"/>
      <c r="R78" s="3"/>
      <c r="S78" s="97"/>
      <c r="T78" s="98"/>
      <c r="U78" s="98"/>
      <c r="V78" s="99"/>
      <c r="W78" s="17" t="str">
        <f t="shared" si="1"/>
        <v/>
      </c>
      <c r="X78" s="3"/>
      <c r="Y78" s="3"/>
      <c r="Z78" s="3"/>
    </row>
    <row r="79" spans="1:26" s="4" customFormat="1" ht="12.75">
      <c r="A79" s="3"/>
      <c r="B79" s="12"/>
      <c r="C79" s="3"/>
      <c r="D79" s="86"/>
      <c r="E79" s="86"/>
      <c r="F79" s="3"/>
      <c r="G79" s="93" t="str">
        <f t="shared" si="2"/>
        <v/>
      </c>
      <c r="H79" s="94"/>
      <c r="I79" s="94"/>
      <c r="J79" s="94"/>
      <c r="K79" s="94"/>
      <c r="L79" s="95"/>
      <c r="M79" s="3"/>
      <c r="N79" s="86"/>
      <c r="O79" s="86"/>
      <c r="P79" s="3"/>
      <c r="Q79" s="27"/>
      <c r="R79" s="3"/>
      <c r="S79" s="97"/>
      <c r="T79" s="98"/>
      <c r="U79" s="98"/>
      <c r="V79" s="99"/>
      <c r="W79" s="17" t="str">
        <f t="shared" si="1"/>
        <v/>
      </c>
      <c r="X79" s="3"/>
      <c r="Y79" s="3"/>
      <c r="Z79" s="3"/>
    </row>
    <row r="80" spans="1:26" s="4" customFormat="1" ht="12.75">
      <c r="A80" s="3"/>
      <c r="B80" s="12"/>
      <c r="C80" s="3"/>
      <c r="D80" s="86"/>
      <c r="E80" s="86"/>
      <c r="F80" s="3"/>
      <c r="G80" s="93" t="str">
        <f t="shared" si="2"/>
        <v/>
      </c>
      <c r="H80" s="94"/>
      <c r="I80" s="94"/>
      <c r="J80" s="94"/>
      <c r="K80" s="94"/>
      <c r="L80" s="95"/>
      <c r="M80" s="3"/>
      <c r="N80" s="86"/>
      <c r="O80" s="86"/>
      <c r="P80" s="3"/>
      <c r="Q80" s="27"/>
      <c r="R80" s="3"/>
      <c r="S80" s="97"/>
      <c r="T80" s="98"/>
      <c r="U80" s="98"/>
      <c r="V80" s="99"/>
      <c r="W80" s="17" t="str">
        <f t="shared" si="1"/>
        <v/>
      </c>
      <c r="X80" s="3"/>
      <c r="Y80" s="3"/>
      <c r="Z80" s="3"/>
    </row>
    <row r="81" spans="1:26" s="4" customFormat="1" ht="12.75">
      <c r="A81" s="3"/>
      <c r="B81" s="12"/>
      <c r="C81" s="3"/>
      <c r="D81" s="86"/>
      <c r="E81" s="86"/>
      <c r="F81" s="3"/>
      <c r="G81" s="93" t="str">
        <f t="shared" si="2"/>
        <v/>
      </c>
      <c r="H81" s="94"/>
      <c r="I81" s="94"/>
      <c r="J81" s="94"/>
      <c r="K81" s="94"/>
      <c r="L81" s="95"/>
      <c r="M81" s="3"/>
      <c r="N81" s="86"/>
      <c r="O81" s="86"/>
      <c r="P81" s="3"/>
      <c r="Q81" s="27"/>
      <c r="R81" s="3"/>
      <c r="S81" s="97"/>
      <c r="T81" s="98"/>
      <c r="U81" s="98"/>
      <c r="V81" s="99"/>
      <c r="W81" s="17" t="str">
        <f t="shared" si="1"/>
        <v/>
      </c>
      <c r="X81" s="3"/>
      <c r="Y81" s="3"/>
      <c r="Z81" s="3"/>
    </row>
    <row r="82" spans="1:26" s="4" customFormat="1" ht="12.75">
      <c r="A82" s="3"/>
      <c r="B82" s="12"/>
      <c r="C82" s="3"/>
      <c r="D82" s="86"/>
      <c r="E82" s="86"/>
      <c r="F82" s="3"/>
      <c r="G82" s="93" t="str">
        <f t="shared" si="2"/>
        <v/>
      </c>
      <c r="H82" s="94"/>
      <c r="I82" s="94"/>
      <c r="J82" s="94"/>
      <c r="K82" s="94"/>
      <c r="L82" s="95"/>
      <c r="M82" s="3"/>
      <c r="N82" s="86"/>
      <c r="O82" s="86"/>
      <c r="P82" s="3"/>
      <c r="Q82" s="27"/>
      <c r="R82" s="3"/>
      <c r="S82" s="97"/>
      <c r="T82" s="98"/>
      <c r="U82" s="98"/>
      <c r="V82" s="99"/>
      <c r="W82" s="17" t="str">
        <f t="shared" si="1"/>
        <v/>
      </c>
      <c r="X82" s="3"/>
      <c r="Y82" s="3"/>
      <c r="Z82" s="3"/>
    </row>
    <row r="83" spans="1:26" s="4" customFormat="1" ht="12.75">
      <c r="A83" s="3"/>
      <c r="B83" s="12"/>
      <c r="C83" s="3"/>
      <c r="D83" s="86"/>
      <c r="E83" s="86"/>
      <c r="F83" s="3"/>
      <c r="G83" s="93" t="str">
        <f t="shared" si="2"/>
        <v/>
      </c>
      <c r="H83" s="94"/>
      <c r="I83" s="94"/>
      <c r="J83" s="94"/>
      <c r="K83" s="94"/>
      <c r="L83" s="95"/>
      <c r="M83" s="3"/>
      <c r="N83" s="86"/>
      <c r="O83" s="86"/>
      <c r="P83" s="3"/>
      <c r="Q83" s="27"/>
      <c r="R83" s="3"/>
      <c r="S83" s="97"/>
      <c r="T83" s="98"/>
      <c r="U83" s="98"/>
      <c r="V83" s="99"/>
      <c r="W83" s="17" t="str">
        <f t="shared" si="1"/>
        <v/>
      </c>
      <c r="X83" s="3"/>
      <c r="Y83" s="3"/>
      <c r="Z83" s="3"/>
    </row>
    <row r="84" spans="1:26" s="4" customFormat="1" ht="12.75">
      <c r="A84" s="3"/>
      <c r="B84" s="12"/>
      <c r="C84" s="3"/>
      <c r="D84" s="86"/>
      <c r="E84" s="86"/>
      <c r="F84" s="3"/>
      <c r="G84" s="93" t="str">
        <f t="shared" si="2"/>
        <v/>
      </c>
      <c r="H84" s="94"/>
      <c r="I84" s="94"/>
      <c r="J84" s="94"/>
      <c r="K84" s="94"/>
      <c r="L84" s="95"/>
      <c r="M84" s="3"/>
      <c r="N84" s="86"/>
      <c r="O84" s="86"/>
      <c r="P84" s="3"/>
      <c r="Q84" s="27"/>
      <c r="R84" s="3"/>
      <c r="S84" s="97"/>
      <c r="T84" s="98"/>
      <c r="U84" s="98"/>
      <c r="V84" s="99"/>
      <c r="W84" s="17" t="str">
        <f t="shared" si="1"/>
        <v/>
      </c>
      <c r="X84" s="3"/>
      <c r="Y84" s="3"/>
      <c r="Z84" s="3"/>
    </row>
    <row r="85" spans="1:26" s="4" customFormat="1" ht="12.75">
      <c r="A85" s="3"/>
      <c r="B85" s="12"/>
      <c r="C85" s="3"/>
      <c r="D85" s="86"/>
      <c r="E85" s="86"/>
      <c r="F85" s="3"/>
      <c r="G85" s="93" t="str">
        <f t="shared" si="2"/>
        <v/>
      </c>
      <c r="H85" s="94"/>
      <c r="I85" s="94"/>
      <c r="J85" s="94"/>
      <c r="K85" s="94"/>
      <c r="L85" s="95"/>
      <c r="M85" s="3"/>
      <c r="N85" s="86"/>
      <c r="O85" s="86"/>
      <c r="P85" s="3"/>
      <c r="Q85" s="27"/>
      <c r="R85" s="3"/>
      <c r="S85" s="97"/>
      <c r="T85" s="98"/>
      <c r="U85" s="98"/>
      <c r="V85" s="99"/>
      <c r="W85" s="17" t="str">
        <f t="shared" si="1"/>
        <v/>
      </c>
      <c r="X85" s="3"/>
      <c r="Y85" s="3"/>
      <c r="Z85" s="3"/>
    </row>
    <row r="86" spans="1:26" s="4" customFormat="1" ht="12.75">
      <c r="A86" s="3"/>
      <c r="B86" s="12"/>
      <c r="C86" s="3"/>
      <c r="D86" s="86"/>
      <c r="E86" s="86"/>
      <c r="F86" s="3"/>
      <c r="G86" s="93" t="str">
        <f t="shared" si="2"/>
        <v/>
      </c>
      <c r="H86" s="94"/>
      <c r="I86" s="94"/>
      <c r="J86" s="94"/>
      <c r="K86" s="94"/>
      <c r="L86" s="95"/>
      <c r="M86" s="3"/>
      <c r="N86" s="86"/>
      <c r="O86" s="86"/>
      <c r="P86" s="3"/>
      <c r="Q86" s="27"/>
      <c r="R86" s="3"/>
      <c r="S86" s="97"/>
      <c r="T86" s="98"/>
      <c r="U86" s="98"/>
      <c r="V86" s="99"/>
      <c r="W86" s="17" t="str">
        <f t="shared" si="1"/>
        <v/>
      </c>
      <c r="X86" s="3"/>
      <c r="Y86" s="3"/>
      <c r="Z86" s="3"/>
    </row>
    <row r="87" spans="1:26" s="4" customFormat="1" ht="12.75">
      <c r="A87" s="3"/>
      <c r="B87" s="12"/>
      <c r="C87" s="3"/>
      <c r="D87" s="86"/>
      <c r="E87" s="86"/>
      <c r="F87" s="3"/>
      <c r="G87" s="93" t="str">
        <f t="shared" si="2"/>
        <v/>
      </c>
      <c r="H87" s="94"/>
      <c r="I87" s="94"/>
      <c r="J87" s="94"/>
      <c r="K87" s="94"/>
      <c r="L87" s="95"/>
      <c r="M87" s="3"/>
      <c r="N87" s="86"/>
      <c r="O87" s="86"/>
      <c r="P87" s="3"/>
      <c r="Q87" s="27"/>
      <c r="R87" s="3"/>
      <c r="S87" s="97"/>
      <c r="T87" s="98"/>
      <c r="U87" s="98"/>
      <c r="V87" s="99"/>
      <c r="W87" s="17" t="str">
        <f t="shared" si="1"/>
        <v/>
      </c>
      <c r="X87" s="3"/>
      <c r="Y87" s="3"/>
      <c r="Z87" s="3"/>
    </row>
    <row r="88" spans="1:26" s="4" customFormat="1" ht="12.75">
      <c r="A88" s="3"/>
      <c r="B88" s="12"/>
      <c r="C88" s="3"/>
      <c r="D88" s="86"/>
      <c r="E88" s="86"/>
      <c r="F88" s="3"/>
      <c r="G88" s="93" t="str">
        <f t="shared" si="2"/>
        <v/>
      </c>
      <c r="H88" s="94"/>
      <c r="I88" s="94"/>
      <c r="J88" s="94"/>
      <c r="K88" s="94"/>
      <c r="L88" s="95"/>
      <c r="M88" s="3"/>
      <c r="N88" s="86"/>
      <c r="O88" s="86"/>
      <c r="P88" s="3"/>
      <c r="Q88" s="27"/>
      <c r="R88" s="3"/>
      <c r="S88" s="97"/>
      <c r="T88" s="98"/>
      <c r="U88" s="98"/>
      <c r="V88" s="99"/>
      <c r="W88" s="17" t="str">
        <f t="shared" si="1"/>
        <v/>
      </c>
      <c r="X88" s="3"/>
      <c r="Y88" s="3"/>
      <c r="Z88" s="3"/>
    </row>
    <row r="89" spans="1:26" s="4" customFormat="1" ht="12.75">
      <c r="A89" s="3"/>
      <c r="B89" s="12"/>
      <c r="C89" s="3"/>
      <c r="D89" s="86"/>
      <c r="E89" s="86"/>
      <c r="F89" s="3"/>
      <c r="G89" s="93" t="str">
        <f t="shared" si="2"/>
        <v/>
      </c>
      <c r="H89" s="94"/>
      <c r="I89" s="94"/>
      <c r="J89" s="94"/>
      <c r="K89" s="94"/>
      <c r="L89" s="95"/>
      <c r="M89" s="3"/>
      <c r="N89" s="86"/>
      <c r="O89" s="86"/>
      <c r="P89" s="3"/>
      <c r="Q89" s="27"/>
      <c r="R89" s="3"/>
      <c r="S89" s="97"/>
      <c r="T89" s="98"/>
      <c r="U89" s="98"/>
      <c r="V89" s="99"/>
      <c r="W89" s="17" t="str">
        <f t="shared" si="1"/>
        <v/>
      </c>
      <c r="X89" s="3"/>
      <c r="Y89" s="3"/>
      <c r="Z89" s="3"/>
    </row>
    <row r="90" spans="1:26" s="4" customFormat="1" ht="12.75">
      <c r="A90" s="3"/>
      <c r="B90" s="12"/>
      <c r="C90" s="3"/>
      <c r="D90" s="86"/>
      <c r="E90" s="86"/>
      <c r="F90" s="3"/>
      <c r="G90" s="93" t="str">
        <f t="shared" si="2"/>
        <v/>
      </c>
      <c r="H90" s="94"/>
      <c r="I90" s="94"/>
      <c r="J90" s="94"/>
      <c r="K90" s="94"/>
      <c r="L90" s="95"/>
      <c r="M90" s="3"/>
      <c r="N90" s="86"/>
      <c r="O90" s="86"/>
      <c r="P90" s="3"/>
      <c r="Q90" s="27"/>
      <c r="R90" s="3"/>
      <c r="S90" s="97"/>
      <c r="T90" s="98"/>
      <c r="U90" s="98"/>
      <c r="V90" s="99"/>
      <c r="W90" s="17" t="str">
        <f t="shared" si="1"/>
        <v/>
      </c>
      <c r="X90" s="3"/>
      <c r="Y90" s="3"/>
      <c r="Z90" s="3"/>
    </row>
    <row r="91" spans="1:26" s="4" customFormat="1" ht="12.75">
      <c r="A91" s="3"/>
      <c r="B91" s="12"/>
      <c r="C91" s="3"/>
      <c r="D91" s="86"/>
      <c r="E91" s="86"/>
      <c r="F91" s="3"/>
      <c r="G91" s="93" t="str">
        <f t="shared" si="2"/>
        <v/>
      </c>
      <c r="H91" s="94"/>
      <c r="I91" s="94"/>
      <c r="J91" s="94"/>
      <c r="K91" s="94"/>
      <c r="L91" s="95"/>
      <c r="M91" s="3"/>
      <c r="N91" s="86"/>
      <c r="O91" s="86"/>
      <c r="P91" s="3"/>
      <c r="Q91" s="27"/>
      <c r="R91" s="3"/>
      <c r="S91" s="97"/>
      <c r="T91" s="98"/>
      <c r="U91" s="98"/>
      <c r="V91" s="99"/>
      <c r="W91" s="17" t="str">
        <f t="shared" si="1"/>
        <v/>
      </c>
      <c r="X91" s="3"/>
      <c r="Y91" s="3"/>
      <c r="Z91" s="3"/>
    </row>
    <row r="92" spans="1:26" s="4" customFormat="1" ht="12.75">
      <c r="A92" s="3"/>
      <c r="B92" s="12"/>
      <c r="C92" s="3"/>
      <c r="D92" s="86"/>
      <c r="E92" s="86"/>
      <c r="F92" s="3"/>
      <c r="G92" s="93" t="str">
        <f t="shared" si="2"/>
        <v/>
      </c>
      <c r="H92" s="94"/>
      <c r="I92" s="94"/>
      <c r="J92" s="94"/>
      <c r="K92" s="94"/>
      <c r="L92" s="95"/>
      <c r="M92" s="3"/>
      <c r="N92" s="86"/>
      <c r="O92" s="86"/>
      <c r="P92" s="3"/>
      <c r="Q92" s="27"/>
      <c r="R92" s="3"/>
      <c r="S92" s="97"/>
      <c r="T92" s="98"/>
      <c r="U92" s="98"/>
      <c r="V92" s="99"/>
      <c r="W92" s="17" t="str">
        <f t="shared" si="1"/>
        <v/>
      </c>
      <c r="X92" s="3"/>
      <c r="Y92" s="3"/>
      <c r="Z92" s="3"/>
    </row>
    <row r="93" spans="1:26" s="4" customFormat="1" ht="12.75">
      <c r="A93" s="3"/>
      <c r="B93" s="12"/>
      <c r="C93" s="3"/>
      <c r="D93" s="86"/>
      <c r="E93" s="86"/>
      <c r="F93" s="3"/>
      <c r="G93" s="93" t="str">
        <f t="shared" si="2"/>
        <v/>
      </c>
      <c r="H93" s="94"/>
      <c r="I93" s="94"/>
      <c r="J93" s="94"/>
      <c r="K93" s="94"/>
      <c r="L93" s="95"/>
      <c r="M93" s="3"/>
      <c r="N93" s="86"/>
      <c r="O93" s="86"/>
      <c r="P93" s="3"/>
      <c r="Q93" s="27"/>
      <c r="R93" s="3"/>
      <c r="S93" s="97"/>
      <c r="T93" s="98"/>
      <c r="U93" s="98"/>
      <c r="V93" s="99"/>
      <c r="W93" s="17" t="str">
        <f t="shared" si="1"/>
        <v/>
      </c>
      <c r="X93" s="3"/>
      <c r="Y93" s="3"/>
      <c r="Z93" s="3"/>
    </row>
    <row r="94" spans="1:26" s="4" customFormat="1" ht="12.75">
      <c r="A94" s="3"/>
      <c r="B94" s="12"/>
      <c r="C94" s="3"/>
      <c r="D94" s="86"/>
      <c r="E94" s="86"/>
      <c r="F94" s="3"/>
      <c r="G94" s="93" t="str">
        <f t="shared" si="2"/>
        <v/>
      </c>
      <c r="H94" s="94"/>
      <c r="I94" s="94"/>
      <c r="J94" s="94"/>
      <c r="K94" s="94"/>
      <c r="L94" s="95"/>
      <c r="M94" s="3"/>
      <c r="N94" s="86"/>
      <c r="O94" s="86"/>
      <c r="P94" s="3"/>
      <c r="Q94" s="27"/>
      <c r="R94" s="3"/>
      <c r="S94" s="97"/>
      <c r="T94" s="98"/>
      <c r="U94" s="98"/>
      <c r="V94" s="99"/>
      <c r="W94" s="17" t="str">
        <f t="shared" si="1"/>
        <v/>
      </c>
      <c r="X94" s="3"/>
      <c r="Y94" s="3"/>
      <c r="Z94" s="3"/>
    </row>
    <row r="95" spans="1:26" s="4" customFormat="1" ht="12.75">
      <c r="A95" s="3"/>
      <c r="B95" s="12"/>
      <c r="C95" s="3"/>
      <c r="D95" s="86"/>
      <c r="E95" s="86"/>
      <c r="F95" s="3"/>
      <c r="G95" s="93" t="str">
        <f t="shared" si="2"/>
        <v/>
      </c>
      <c r="H95" s="94"/>
      <c r="I95" s="94"/>
      <c r="J95" s="94"/>
      <c r="K95" s="94"/>
      <c r="L95" s="95"/>
      <c r="M95" s="3"/>
      <c r="N95" s="86"/>
      <c r="O95" s="86"/>
      <c r="P95" s="3"/>
      <c r="Q95" s="27"/>
      <c r="R95" s="3"/>
      <c r="S95" s="97"/>
      <c r="T95" s="98"/>
      <c r="U95" s="98"/>
      <c r="V95" s="99"/>
      <c r="W95" s="17" t="str">
        <f t="shared" si="1"/>
        <v/>
      </c>
      <c r="X95" s="3"/>
      <c r="Y95" s="3"/>
      <c r="Z95" s="3"/>
    </row>
    <row r="96" spans="1:26" s="4" customFormat="1" ht="12.75">
      <c r="A96" s="3"/>
      <c r="B96" s="12"/>
      <c r="C96" s="3"/>
      <c r="D96" s="86"/>
      <c r="E96" s="86"/>
      <c r="F96" s="3"/>
      <c r="G96" s="93" t="str">
        <f t="shared" si="2"/>
        <v/>
      </c>
      <c r="H96" s="94"/>
      <c r="I96" s="94"/>
      <c r="J96" s="94"/>
      <c r="K96" s="94"/>
      <c r="L96" s="95"/>
      <c r="M96" s="3"/>
      <c r="N96" s="86"/>
      <c r="O96" s="86"/>
      <c r="P96" s="3"/>
      <c r="Q96" s="27"/>
      <c r="R96" s="3"/>
      <c r="S96" s="97"/>
      <c r="T96" s="98"/>
      <c r="U96" s="98"/>
      <c r="V96" s="99"/>
      <c r="W96" s="17" t="str">
        <f t="shared" si="1"/>
        <v/>
      </c>
      <c r="X96" s="3"/>
      <c r="Y96" s="3"/>
      <c r="Z96" s="3"/>
    </row>
    <row r="97" spans="1:26" s="4" customFormat="1" ht="12.75">
      <c r="A97" s="3"/>
      <c r="B97" s="12"/>
      <c r="C97" s="3"/>
      <c r="D97" s="86"/>
      <c r="E97" s="86"/>
      <c r="F97" s="3"/>
      <c r="G97" s="93" t="str">
        <f t="shared" si="2"/>
        <v/>
      </c>
      <c r="H97" s="94"/>
      <c r="I97" s="94"/>
      <c r="J97" s="94"/>
      <c r="K97" s="94"/>
      <c r="L97" s="95"/>
      <c r="M97" s="3"/>
      <c r="N97" s="86"/>
      <c r="O97" s="86"/>
      <c r="P97" s="3"/>
      <c r="Q97" s="27"/>
      <c r="R97" s="3"/>
      <c r="S97" s="97"/>
      <c r="T97" s="98"/>
      <c r="U97" s="98"/>
      <c r="V97" s="99"/>
      <c r="W97" s="17" t="str">
        <f t="shared" si="1"/>
        <v/>
      </c>
      <c r="X97" s="3"/>
      <c r="Y97" s="3"/>
      <c r="Z97" s="3"/>
    </row>
    <row r="98" spans="1:26" s="4" customFormat="1" ht="12.75">
      <c r="A98" s="3"/>
      <c r="B98" s="12"/>
      <c r="C98" s="3"/>
      <c r="D98" s="86"/>
      <c r="E98" s="86"/>
      <c r="F98" s="3"/>
      <c r="G98" s="93" t="str">
        <f t="shared" si="2"/>
        <v/>
      </c>
      <c r="H98" s="94"/>
      <c r="I98" s="94"/>
      <c r="J98" s="94"/>
      <c r="K98" s="94"/>
      <c r="L98" s="95"/>
      <c r="M98" s="3"/>
      <c r="N98" s="86"/>
      <c r="O98" s="86"/>
      <c r="P98" s="3"/>
      <c r="Q98" s="27"/>
      <c r="R98" s="3"/>
      <c r="S98" s="97"/>
      <c r="T98" s="98"/>
      <c r="U98" s="98"/>
      <c r="V98" s="99"/>
      <c r="W98" s="17" t="str">
        <f t="shared" si="1"/>
        <v/>
      </c>
      <c r="X98" s="3"/>
      <c r="Y98" s="3"/>
      <c r="Z98" s="3"/>
    </row>
    <row r="99" spans="1:26" s="4" customFormat="1" ht="12.75">
      <c r="A99" s="3"/>
      <c r="B99" s="12"/>
      <c r="C99" s="3"/>
      <c r="D99" s="86"/>
      <c r="E99" s="86"/>
      <c r="F99" s="3"/>
      <c r="G99" s="93" t="str">
        <f t="shared" ref="G99:G133" si="3">IFERROR(VLOOKUP(D99,Items,2,FALSE),"")</f>
        <v/>
      </c>
      <c r="H99" s="94"/>
      <c r="I99" s="94"/>
      <c r="J99" s="94"/>
      <c r="K99" s="94"/>
      <c r="L99" s="95"/>
      <c r="M99" s="3"/>
      <c r="N99" s="86"/>
      <c r="O99" s="86"/>
      <c r="P99" s="3"/>
      <c r="Q99" s="27"/>
      <c r="R99" s="3"/>
      <c r="S99" s="97"/>
      <c r="T99" s="98"/>
      <c r="U99" s="98"/>
      <c r="V99" s="99"/>
      <c r="W99" s="17" t="str">
        <f t="shared" ref="W99:W133" si="4">IF(D99&lt;&gt;"",IF(N99="","PLEASE PROVIDE QTY TO SHIP!!!",""),"")</f>
        <v/>
      </c>
      <c r="X99" s="3"/>
      <c r="Y99" s="3"/>
      <c r="Z99" s="3"/>
    </row>
    <row r="100" spans="1:26" s="4" customFormat="1" ht="12.75">
      <c r="A100" s="3"/>
      <c r="B100" s="12"/>
      <c r="C100" s="3"/>
      <c r="D100" s="86"/>
      <c r="E100" s="86"/>
      <c r="F100" s="3"/>
      <c r="G100" s="93" t="str">
        <f t="shared" si="3"/>
        <v/>
      </c>
      <c r="H100" s="94"/>
      <c r="I100" s="94"/>
      <c r="J100" s="94"/>
      <c r="K100" s="94"/>
      <c r="L100" s="95"/>
      <c r="M100" s="3"/>
      <c r="N100" s="86"/>
      <c r="O100" s="86"/>
      <c r="P100" s="3"/>
      <c r="Q100" s="27"/>
      <c r="R100" s="3"/>
      <c r="S100" s="97"/>
      <c r="T100" s="98"/>
      <c r="U100" s="98"/>
      <c r="V100" s="99"/>
      <c r="W100" s="17" t="str">
        <f t="shared" si="4"/>
        <v/>
      </c>
      <c r="X100" s="3"/>
      <c r="Y100" s="3"/>
      <c r="Z100" s="3"/>
    </row>
    <row r="101" spans="1:26">
      <c r="A101" s="3"/>
      <c r="B101" s="12"/>
      <c r="C101" s="3"/>
      <c r="D101" s="86"/>
      <c r="E101" s="86"/>
      <c r="F101" s="3"/>
      <c r="G101" s="93" t="str">
        <f t="shared" si="3"/>
        <v/>
      </c>
      <c r="H101" s="94"/>
      <c r="I101" s="94"/>
      <c r="J101" s="94"/>
      <c r="K101" s="94"/>
      <c r="L101" s="95"/>
      <c r="M101" s="3"/>
      <c r="N101" s="86"/>
      <c r="O101" s="86"/>
      <c r="P101" s="3"/>
      <c r="Q101" s="27"/>
      <c r="R101" s="3"/>
      <c r="S101" s="97"/>
      <c r="T101" s="98"/>
      <c r="U101" s="98"/>
      <c r="V101" s="99"/>
      <c r="W101" s="17" t="str">
        <f t="shared" si="4"/>
        <v/>
      </c>
      <c r="X101" s="7"/>
      <c r="Y101" s="7"/>
      <c r="Z101" s="7"/>
    </row>
    <row r="102" spans="1:26">
      <c r="A102" s="3"/>
      <c r="B102" s="12"/>
      <c r="C102" s="3"/>
      <c r="D102" s="86"/>
      <c r="E102" s="86"/>
      <c r="F102" s="3"/>
      <c r="G102" s="93" t="str">
        <f t="shared" si="3"/>
        <v/>
      </c>
      <c r="H102" s="94"/>
      <c r="I102" s="94"/>
      <c r="J102" s="94"/>
      <c r="K102" s="94"/>
      <c r="L102" s="95"/>
      <c r="M102" s="3"/>
      <c r="N102" s="86"/>
      <c r="O102" s="86"/>
      <c r="P102" s="3"/>
      <c r="Q102" s="27"/>
      <c r="R102" s="3"/>
      <c r="S102" s="97"/>
      <c r="T102" s="98"/>
      <c r="U102" s="98"/>
      <c r="V102" s="99"/>
      <c r="W102" s="17" t="str">
        <f t="shared" si="4"/>
        <v/>
      </c>
      <c r="X102" s="7"/>
      <c r="Y102" s="7"/>
      <c r="Z102" s="7"/>
    </row>
    <row r="103" spans="1:26">
      <c r="A103" s="3"/>
      <c r="B103" s="12"/>
      <c r="C103" s="3"/>
      <c r="D103" s="86"/>
      <c r="E103" s="86"/>
      <c r="F103" s="3"/>
      <c r="G103" s="93" t="str">
        <f t="shared" si="3"/>
        <v/>
      </c>
      <c r="H103" s="94"/>
      <c r="I103" s="94"/>
      <c r="J103" s="94"/>
      <c r="K103" s="94"/>
      <c r="L103" s="95"/>
      <c r="M103" s="3"/>
      <c r="N103" s="86"/>
      <c r="O103" s="86"/>
      <c r="P103" s="3"/>
      <c r="Q103" s="27"/>
      <c r="R103" s="3"/>
      <c r="S103" s="97"/>
      <c r="T103" s="98"/>
      <c r="U103" s="98"/>
      <c r="V103" s="99"/>
      <c r="W103" s="17" t="str">
        <f t="shared" si="4"/>
        <v/>
      </c>
      <c r="X103" s="7"/>
      <c r="Y103" s="7"/>
      <c r="Z103" s="7"/>
    </row>
    <row r="104" spans="1:26">
      <c r="A104" s="3"/>
      <c r="B104" s="12"/>
      <c r="C104" s="3"/>
      <c r="D104" s="86"/>
      <c r="E104" s="86"/>
      <c r="F104" s="3"/>
      <c r="G104" s="93" t="str">
        <f t="shared" si="3"/>
        <v/>
      </c>
      <c r="H104" s="94"/>
      <c r="I104" s="94"/>
      <c r="J104" s="94"/>
      <c r="K104" s="94"/>
      <c r="L104" s="95"/>
      <c r="M104" s="3"/>
      <c r="N104" s="86"/>
      <c r="O104" s="86"/>
      <c r="P104" s="3"/>
      <c r="Q104" s="27"/>
      <c r="R104" s="3"/>
      <c r="S104" s="97"/>
      <c r="T104" s="98"/>
      <c r="U104" s="98"/>
      <c r="V104" s="99"/>
      <c r="W104" s="17" t="str">
        <f t="shared" si="4"/>
        <v/>
      </c>
      <c r="X104" s="7"/>
      <c r="Y104" s="7"/>
      <c r="Z104" s="7"/>
    </row>
    <row r="105" spans="1:26">
      <c r="A105" s="3"/>
      <c r="B105" s="12"/>
      <c r="C105" s="3"/>
      <c r="D105" s="86"/>
      <c r="E105" s="86"/>
      <c r="F105" s="3"/>
      <c r="G105" s="93" t="str">
        <f t="shared" si="3"/>
        <v/>
      </c>
      <c r="H105" s="94"/>
      <c r="I105" s="94"/>
      <c r="J105" s="94"/>
      <c r="K105" s="94"/>
      <c r="L105" s="95"/>
      <c r="M105" s="3"/>
      <c r="N105" s="86"/>
      <c r="O105" s="86"/>
      <c r="P105" s="3"/>
      <c r="Q105" s="27"/>
      <c r="R105" s="3"/>
      <c r="S105" s="97"/>
      <c r="T105" s="98"/>
      <c r="U105" s="98"/>
      <c r="V105" s="99"/>
      <c r="W105" s="17" t="str">
        <f t="shared" si="4"/>
        <v/>
      </c>
      <c r="X105" s="7"/>
      <c r="Y105" s="7"/>
      <c r="Z105" s="7"/>
    </row>
    <row r="106" spans="1:26">
      <c r="A106" s="3"/>
      <c r="B106" s="12"/>
      <c r="C106" s="3"/>
      <c r="D106" s="86"/>
      <c r="E106" s="86"/>
      <c r="F106" s="3"/>
      <c r="G106" s="93" t="str">
        <f t="shared" si="3"/>
        <v/>
      </c>
      <c r="H106" s="94"/>
      <c r="I106" s="94"/>
      <c r="J106" s="94"/>
      <c r="K106" s="94"/>
      <c r="L106" s="95"/>
      <c r="M106" s="3"/>
      <c r="N106" s="86"/>
      <c r="O106" s="86"/>
      <c r="P106" s="3"/>
      <c r="Q106" s="27"/>
      <c r="R106" s="3"/>
      <c r="S106" s="97"/>
      <c r="T106" s="98"/>
      <c r="U106" s="98"/>
      <c r="V106" s="99"/>
      <c r="W106" s="17" t="str">
        <f t="shared" si="4"/>
        <v/>
      </c>
      <c r="X106" s="7"/>
      <c r="Y106" s="7"/>
      <c r="Z106" s="7"/>
    </row>
    <row r="107" spans="1:26">
      <c r="A107" s="3"/>
      <c r="B107" s="12"/>
      <c r="C107" s="3"/>
      <c r="D107" s="86"/>
      <c r="E107" s="86"/>
      <c r="F107" s="3"/>
      <c r="G107" s="93" t="str">
        <f t="shared" si="3"/>
        <v/>
      </c>
      <c r="H107" s="94"/>
      <c r="I107" s="94"/>
      <c r="J107" s="94"/>
      <c r="K107" s="94"/>
      <c r="L107" s="95"/>
      <c r="M107" s="3"/>
      <c r="N107" s="86"/>
      <c r="O107" s="86"/>
      <c r="P107" s="3"/>
      <c r="Q107" s="27"/>
      <c r="R107" s="3"/>
      <c r="S107" s="97"/>
      <c r="T107" s="98"/>
      <c r="U107" s="98"/>
      <c r="V107" s="99"/>
      <c r="W107" s="17" t="str">
        <f t="shared" si="4"/>
        <v/>
      </c>
      <c r="X107" s="7"/>
      <c r="Y107" s="7"/>
      <c r="Z107" s="7"/>
    </row>
    <row r="108" spans="1:26">
      <c r="A108" s="3"/>
      <c r="B108" s="12"/>
      <c r="C108" s="3"/>
      <c r="D108" s="86"/>
      <c r="E108" s="86"/>
      <c r="F108" s="3"/>
      <c r="G108" s="93" t="str">
        <f t="shared" si="3"/>
        <v/>
      </c>
      <c r="H108" s="94"/>
      <c r="I108" s="94"/>
      <c r="J108" s="94"/>
      <c r="K108" s="94"/>
      <c r="L108" s="95"/>
      <c r="M108" s="3"/>
      <c r="N108" s="86"/>
      <c r="O108" s="86"/>
      <c r="P108" s="3"/>
      <c r="Q108" s="27"/>
      <c r="R108" s="3"/>
      <c r="S108" s="97"/>
      <c r="T108" s="98"/>
      <c r="U108" s="98"/>
      <c r="V108" s="99"/>
      <c r="W108" s="17" t="str">
        <f t="shared" si="4"/>
        <v/>
      </c>
      <c r="X108" s="7"/>
      <c r="Y108" s="7"/>
      <c r="Z108" s="7"/>
    </row>
    <row r="109" spans="1:26">
      <c r="A109" s="3"/>
      <c r="B109" s="12"/>
      <c r="C109" s="3"/>
      <c r="D109" s="86"/>
      <c r="E109" s="86"/>
      <c r="F109" s="3"/>
      <c r="G109" s="93" t="str">
        <f t="shared" si="3"/>
        <v/>
      </c>
      <c r="H109" s="94"/>
      <c r="I109" s="94"/>
      <c r="J109" s="94"/>
      <c r="K109" s="94"/>
      <c r="L109" s="95"/>
      <c r="M109" s="3"/>
      <c r="N109" s="86"/>
      <c r="O109" s="86"/>
      <c r="P109" s="3"/>
      <c r="Q109" s="27"/>
      <c r="R109" s="3"/>
      <c r="S109" s="97"/>
      <c r="T109" s="98"/>
      <c r="U109" s="98"/>
      <c r="V109" s="99"/>
      <c r="W109" s="17" t="str">
        <f t="shared" si="4"/>
        <v/>
      </c>
      <c r="X109" s="7"/>
      <c r="Y109" s="7"/>
      <c r="Z109" s="7"/>
    </row>
    <row r="110" spans="1:26">
      <c r="A110" s="3"/>
      <c r="B110" s="12"/>
      <c r="C110" s="3"/>
      <c r="D110" s="86"/>
      <c r="E110" s="86"/>
      <c r="F110" s="3"/>
      <c r="G110" s="93" t="str">
        <f t="shared" si="3"/>
        <v/>
      </c>
      <c r="H110" s="94"/>
      <c r="I110" s="94"/>
      <c r="J110" s="94"/>
      <c r="K110" s="94"/>
      <c r="L110" s="95"/>
      <c r="M110" s="3"/>
      <c r="N110" s="86"/>
      <c r="O110" s="86"/>
      <c r="P110" s="3"/>
      <c r="Q110" s="27"/>
      <c r="R110" s="3"/>
      <c r="S110" s="97"/>
      <c r="T110" s="98"/>
      <c r="U110" s="98"/>
      <c r="V110" s="99"/>
      <c r="W110" s="17" t="str">
        <f t="shared" si="4"/>
        <v/>
      </c>
      <c r="X110" s="7"/>
      <c r="Y110" s="7"/>
      <c r="Z110" s="7"/>
    </row>
    <row r="111" spans="1:26">
      <c r="A111" s="3"/>
      <c r="B111" s="12"/>
      <c r="C111" s="3"/>
      <c r="D111" s="86"/>
      <c r="E111" s="86"/>
      <c r="F111" s="3"/>
      <c r="G111" s="93" t="str">
        <f t="shared" si="3"/>
        <v/>
      </c>
      <c r="H111" s="94"/>
      <c r="I111" s="94"/>
      <c r="J111" s="94"/>
      <c r="K111" s="94"/>
      <c r="L111" s="95"/>
      <c r="M111" s="3"/>
      <c r="N111" s="86"/>
      <c r="O111" s="86"/>
      <c r="P111" s="3"/>
      <c r="Q111" s="27"/>
      <c r="R111" s="3"/>
      <c r="S111" s="97"/>
      <c r="T111" s="98"/>
      <c r="U111" s="98"/>
      <c r="V111" s="99"/>
      <c r="W111" s="17" t="str">
        <f t="shared" si="4"/>
        <v/>
      </c>
      <c r="X111" s="7"/>
      <c r="Y111" s="7"/>
      <c r="Z111" s="7"/>
    </row>
    <row r="112" spans="1:26">
      <c r="A112" s="3"/>
      <c r="B112" s="12"/>
      <c r="C112" s="3"/>
      <c r="D112" s="86"/>
      <c r="E112" s="86"/>
      <c r="F112" s="3"/>
      <c r="G112" s="93" t="str">
        <f t="shared" si="3"/>
        <v/>
      </c>
      <c r="H112" s="94"/>
      <c r="I112" s="94"/>
      <c r="J112" s="94"/>
      <c r="K112" s="94"/>
      <c r="L112" s="95"/>
      <c r="M112" s="3"/>
      <c r="N112" s="86"/>
      <c r="O112" s="86"/>
      <c r="P112" s="3"/>
      <c r="Q112" s="27"/>
      <c r="R112" s="3"/>
      <c r="S112" s="97"/>
      <c r="T112" s="98"/>
      <c r="U112" s="98"/>
      <c r="V112" s="99"/>
      <c r="W112" s="17" t="str">
        <f t="shared" si="4"/>
        <v/>
      </c>
      <c r="X112" s="7"/>
      <c r="Y112" s="7"/>
      <c r="Z112" s="7"/>
    </row>
    <row r="113" spans="1:26">
      <c r="A113" s="3"/>
      <c r="B113" s="12"/>
      <c r="C113" s="3"/>
      <c r="D113" s="86"/>
      <c r="E113" s="86"/>
      <c r="F113" s="3"/>
      <c r="G113" s="93" t="str">
        <f t="shared" si="3"/>
        <v/>
      </c>
      <c r="H113" s="94"/>
      <c r="I113" s="94"/>
      <c r="J113" s="94"/>
      <c r="K113" s="94"/>
      <c r="L113" s="95"/>
      <c r="M113" s="3"/>
      <c r="N113" s="86"/>
      <c r="O113" s="86"/>
      <c r="P113" s="3"/>
      <c r="Q113" s="27"/>
      <c r="R113" s="3"/>
      <c r="S113" s="97"/>
      <c r="T113" s="98"/>
      <c r="U113" s="98"/>
      <c r="V113" s="99"/>
      <c r="W113" s="17" t="str">
        <f t="shared" si="4"/>
        <v/>
      </c>
      <c r="X113" s="7"/>
      <c r="Y113" s="7"/>
      <c r="Z113" s="7"/>
    </row>
    <row r="114" spans="1:26">
      <c r="A114" s="3"/>
      <c r="B114" s="12"/>
      <c r="C114" s="3"/>
      <c r="D114" s="86"/>
      <c r="E114" s="86"/>
      <c r="F114" s="3"/>
      <c r="G114" s="93" t="str">
        <f t="shared" si="3"/>
        <v/>
      </c>
      <c r="H114" s="94"/>
      <c r="I114" s="94"/>
      <c r="J114" s="94"/>
      <c r="K114" s="94"/>
      <c r="L114" s="95"/>
      <c r="M114" s="3"/>
      <c r="N114" s="86"/>
      <c r="O114" s="86"/>
      <c r="P114" s="3"/>
      <c r="Q114" s="27"/>
      <c r="R114" s="3"/>
      <c r="S114" s="97"/>
      <c r="T114" s="98"/>
      <c r="U114" s="98"/>
      <c r="V114" s="99"/>
      <c r="W114" s="17" t="str">
        <f t="shared" si="4"/>
        <v/>
      </c>
      <c r="X114" s="7"/>
      <c r="Y114" s="7"/>
      <c r="Z114" s="7"/>
    </row>
    <row r="115" spans="1:26">
      <c r="A115" s="3"/>
      <c r="B115" s="12"/>
      <c r="C115" s="3"/>
      <c r="D115" s="86"/>
      <c r="E115" s="86"/>
      <c r="F115" s="3"/>
      <c r="G115" s="93" t="str">
        <f t="shared" si="3"/>
        <v/>
      </c>
      <c r="H115" s="94"/>
      <c r="I115" s="94"/>
      <c r="J115" s="94"/>
      <c r="K115" s="94"/>
      <c r="L115" s="95"/>
      <c r="M115" s="3"/>
      <c r="N115" s="86"/>
      <c r="O115" s="86"/>
      <c r="P115" s="3"/>
      <c r="Q115" s="27"/>
      <c r="R115" s="3"/>
      <c r="S115" s="97"/>
      <c r="T115" s="98"/>
      <c r="U115" s="98"/>
      <c r="V115" s="99"/>
      <c r="W115" s="17" t="str">
        <f t="shared" si="4"/>
        <v/>
      </c>
      <c r="X115" s="7"/>
      <c r="Y115" s="7"/>
      <c r="Z115" s="7"/>
    </row>
    <row r="116" spans="1:26">
      <c r="A116" s="3"/>
      <c r="B116" s="12"/>
      <c r="C116" s="3"/>
      <c r="D116" s="86"/>
      <c r="E116" s="86"/>
      <c r="F116" s="3"/>
      <c r="G116" s="93" t="str">
        <f t="shared" si="3"/>
        <v/>
      </c>
      <c r="H116" s="94"/>
      <c r="I116" s="94"/>
      <c r="J116" s="94"/>
      <c r="K116" s="94"/>
      <c r="L116" s="95"/>
      <c r="M116" s="3"/>
      <c r="N116" s="86"/>
      <c r="O116" s="86"/>
      <c r="P116" s="3"/>
      <c r="Q116" s="27"/>
      <c r="R116" s="3"/>
      <c r="S116" s="97"/>
      <c r="T116" s="98"/>
      <c r="U116" s="98"/>
      <c r="V116" s="99"/>
      <c r="W116" s="17" t="str">
        <f t="shared" si="4"/>
        <v/>
      </c>
      <c r="X116" s="7"/>
      <c r="Y116" s="7"/>
      <c r="Z116" s="7"/>
    </row>
    <row r="117" spans="1:26">
      <c r="A117" s="3"/>
      <c r="B117" s="12"/>
      <c r="C117" s="3"/>
      <c r="D117" s="86"/>
      <c r="E117" s="86"/>
      <c r="F117" s="3"/>
      <c r="G117" s="93" t="str">
        <f t="shared" si="3"/>
        <v/>
      </c>
      <c r="H117" s="94"/>
      <c r="I117" s="94"/>
      <c r="J117" s="94"/>
      <c r="K117" s="94"/>
      <c r="L117" s="95"/>
      <c r="M117" s="3"/>
      <c r="N117" s="86"/>
      <c r="O117" s="86"/>
      <c r="P117" s="3"/>
      <c r="Q117" s="27"/>
      <c r="R117" s="3"/>
      <c r="S117" s="97"/>
      <c r="T117" s="98"/>
      <c r="U117" s="98"/>
      <c r="V117" s="99"/>
      <c r="W117" s="17" t="str">
        <f t="shared" si="4"/>
        <v/>
      </c>
      <c r="X117" s="7"/>
      <c r="Y117" s="7"/>
      <c r="Z117" s="7"/>
    </row>
    <row r="118" spans="1:26">
      <c r="A118" s="3"/>
      <c r="B118" s="12"/>
      <c r="C118" s="3"/>
      <c r="D118" s="86"/>
      <c r="E118" s="86"/>
      <c r="F118" s="3"/>
      <c r="G118" s="93" t="str">
        <f t="shared" si="3"/>
        <v/>
      </c>
      <c r="H118" s="94"/>
      <c r="I118" s="94"/>
      <c r="J118" s="94"/>
      <c r="K118" s="94"/>
      <c r="L118" s="95"/>
      <c r="M118" s="3"/>
      <c r="N118" s="86"/>
      <c r="O118" s="86"/>
      <c r="P118" s="3"/>
      <c r="Q118" s="27"/>
      <c r="R118" s="3"/>
      <c r="S118" s="97"/>
      <c r="T118" s="98"/>
      <c r="U118" s="98"/>
      <c r="V118" s="99"/>
      <c r="W118" s="17" t="str">
        <f t="shared" si="4"/>
        <v/>
      </c>
      <c r="X118" s="7"/>
      <c r="Y118" s="7"/>
      <c r="Z118" s="7"/>
    </row>
    <row r="119" spans="1:26">
      <c r="A119" s="3"/>
      <c r="B119" s="12"/>
      <c r="C119" s="3"/>
      <c r="D119" s="86"/>
      <c r="E119" s="86"/>
      <c r="F119" s="3"/>
      <c r="G119" s="93" t="str">
        <f t="shared" si="3"/>
        <v/>
      </c>
      <c r="H119" s="94"/>
      <c r="I119" s="94"/>
      <c r="J119" s="94"/>
      <c r="K119" s="94"/>
      <c r="L119" s="95"/>
      <c r="M119" s="3"/>
      <c r="N119" s="86"/>
      <c r="O119" s="86"/>
      <c r="P119" s="3"/>
      <c r="Q119" s="27"/>
      <c r="R119" s="3"/>
      <c r="S119" s="97"/>
      <c r="T119" s="98"/>
      <c r="U119" s="98"/>
      <c r="V119" s="99"/>
      <c r="W119" s="17" t="str">
        <f t="shared" si="4"/>
        <v/>
      </c>
      <c r="X119" s="7"/>
      <c r="Y119" s="7"/>
      <c r="Z119" s="7"/>
    </row>
    <row r="120" spans="1:26">
      <c r="A120" s="3"/>
      <c r="B120" s="12"/>
      <c r="C120" s="3"/>
      <c r="D120" s="86"/>
      <c r="E120" s="86"/>
      <c r="F120" s="3"/>
      <c r="G120" s="93" t="str">
        <f t="shared" si="3"/>
        <v/>
      </c>
      <c r="H120" s="94"/>
      <c r="I120" s="94"/>
      <c r="J120" s="94"/>
      <c r="K120" s="94"/>
      <c r="L120" s="95"/>
      <c r="M120" s="3"/>
      <c r="N120" s="86"/>
      <c r="O120" s="86"/>
      <c r="P120" s="3"/>
      <c r="Q120" s="27"/>
      <c r="R120" s="3"/>
      <c r="S120" s="97"/>
      <c r="T120" s="98"/>
      <c r="U120" s="98"/>
      <c r="V120" s="99"/>
      <c r="W120" s="17" t="str">
        <f t="shared" si="4"/>
        <v/>
      </c>
      <c r="X120" s="7"/>
      <c r="Y120" s="7"/>
      <c r="Z120" s="7"/>
    </row>
    <row r="121" spans="1:26">
      <c r="A121" s="3"/>
      <c r="B121" s="12"/>
      <c r="C121" s="3"/>
      <c r="D121" s="86"/>
      <c r="E121" s="86"/>
      <c r="F121" s="3"/>
      <c r="G121" s="93" t="str">
        <f t="shared" si="3"/>
        <v/>
      </c>
      <c r="H121" s="94"/>
      <c r="I121" s="94"/>
      <c r="J121" s="94"/>
      <c r="K121" s="94"/>
      <c r="L121" s="95"/>
      <c r="M121" s="3"/>
      <c r="N121" s="86"/>
      <c r="O121" s="86"/>
      <c r="P121" s="3"/>
      <c r="Q121" s="27"/>
      <c r="R121" s="3"/>
      <c r="S121" s="97"/>
      <c r="T121" s="98"/>
      <c r="U121" s="98"/>
      <c r="V121" s="99"/>
      <c r="W121" s="17" t="str">
        <f t="shared" si="4"/>
        <v/>
      </c>
      <c r="X121" s="7"/>
      <c r="Y121" s="7"/>
      <c r="Z121" s="7"/>
    </row>
    <row r="122" spans="1:26">
      <c r="A122" s="3"/>
      <c r="B122" s="12"/>
      <c r="C122" s="3"/>
      <c r="D122" s="86"/>
      <c r="E122" s="86"/>
      <c r="F122" s="3"/>
      <c r="G122" s="93" t="str">
        <f t="shared" si="3"/>
        <v/>
      </c>
      <c r="H122" s="94"/>
      <c r="I122" s="94"/>
      <c r="J122" s="94"/>
      <c r="K122" s="94"/>
      <c r="L122" s="95"/>
      <c r="M122" s="3"/>
      <c r="N122" s="86"/>
      <c r="O122" s="86"/>
      <c r="P122" s="3"/>
      <c r="Q122" s="27"/>
      <c r="R122" s="3"/>
      <c r="S122" s="97"/>
      <c r="T122" s="98"/>
      <c r="U122" s="98"/>
      <c r="V122" s="99"/>
      <c r="W122" s="17" t="str">
        <f t="shared" si="4"/>
        <v/>
      </c>
      <c r="X122" s="7"/>
      <c r="Y122" s="7"/>
      <c r="Z122" s="7"/>
    </row>
    <row r="123" spans="1:26">
      <c r="A123" s="3"/>
      <c r="B123" s="12"/>
      <c r="C123" s="3"/>
      <c r="D123" s="86"/>
      <c r="E123" s="86"/>
      <c r="F123" s="3"/>
      <c r="G123" s="93" t="str">
        <f t="shared" si="3"/>
        <v/>
      </c>
      <c r="H123" s="94"/>
      <c r="I123" s="94"/>
      <c r="J123" s="94"/>
      <c r="K123" s="94"/>
      <c r="L123" s="95"/>
      <c r="M123" s="3"/>
      <c r="N123" s="86"/>
      <c r="O123" s="86"/>
      <c r="P123" s="3"/>
      <c r="Q123" s="27"/>
      <c r="R123" s="3"/>
      <c r="S123" s="97"/>
      <c r="T123" s="98"/>
      <c r="U123" s="98"/>
      <c r="V123" s="99"/>
      <c r="W123" s="17" t="str">
        <f t="shared" si="4"/>
        <v/>
      </c>
      <c r="X123" s="7"/>
      <c r="Y123" s="7"/>
      <c r="Z123" s="7"/>
    </row>
    <row r="124" spans="1:26">
      <c r="A124" s="3"/>
      <c r="B124" s="12"/>
      <c r="C124" s="3"/>
      <c r="D124" s="86"/>
      <c r="E124" s="86"/>
      <c r="F124" s="3"/>
      <c r="G124" s="93" t="str">
        <f t="shared" si="3"/>
        <v/>
      </c>
      <c r="H124" s="94"/>
      <c r="I124" s="94"/>
      <c r="J124" s="94"/>
      <c r="K124" s="94"/>
      <c r="L124" s="95"/>
      <c r="M124" s="3"/>
      <c r="N124" s="86"/>
      <c r="O124" s="86"/>
      <c r="P124" s="3"/>
      <c r="Q124" s="27"/>
      <c r="R124" s="3"/>
      <c r="S124" s="97"/>
      <c r="T124" s="98"/>
      <c r="U124" s="98"/>
      <c r="V124" s="99"/>
      <c r="W124" s="17" t="str">
        <f t="shared" si="4"/>
        <v/>
      </c>
      <c r="X124" s="7"/>
      <c r="Y124" s="7"/>
      <c r="Z124" s="7"/>
    </row>
    <row r="125" spans="1:26">
      <c r="A125" s="3"/>
      <c r="B125" s="12"/>
      <c r="C125" s="3"/>
      <c r="D125" s="86"/>
      <c r="E125" s="86"/>
      <c r="F125" s="3"/>
      <c r="G125" s="93" t="str">
        <f t="shared" si="3"/>
        <v/>
      </c>
      <c r="H125" s="94"/>
      <c r="I125" s="94"/>
      <c r="J125" s="94"/>
      <c r="K125" s="94"/>
      <c r="L125" s="95"/>
      <c r="M125" s="3"/>
      <c r="N125" s="86"/>
      <c r="O125" s="86"/>
      <c r="P125" s="3"/>
      <c r="Q125" s="27"/>
      <c r="R125" s="3"/>
      <c r="S125" s="97"/>
      <c r="T125" s="98"/>
      <c r="U125" s="98"/>
      <c r="V125" s="99"/>
      <c r="W125" s="17" t="str">
        <f t="shared" si="4"/>
        <v/>
      </c>
      <c r="X125" s="7"/>
      <c r="Y125" s="7"/>
      <c r="Z125" s="7"/>
    </row>
    <row r="126" spans="1:26">
      <c r="A126" s="3"/>
      <c r="B126" s="12"/>
      <c r="C126" s="3"/>
      <c r="D126" s="86"/>
      <c r="E126" s="86"/>
      <c r="F126" s="3"/>
      <c r="G126" s="93" t="str">
        <f t="shared" si="3"/>
        <v/>
      </c>
      <c r="H126" s="94"/>
      <c r="I126" s="94"/>
      <c r="J126" s="94"/>
      <c r="K126" s="94"/>
      <c r="L126" s="95"/>
      <c r="M126" s="3"/>
      <c r="N126" s="86"/>
      <c r="O126" s="86"/>
      <c r="P126" s="3"/>
      <c r="Q126" s="27"/>
      <c r="R126" s="3"/>
      <c r="S126" s="97"/>
      <c r="T126" s="98"/>
      <c r="U126" s="98"/>
      <c r="V126" s="99"/>
      <c r="W126" s="17" t="str">
        <f t="shared" si="4"/>
        <v/>
      </c>
      <c r="X126" s="7"/>
      <c r="Y126" s="7"/>
      <c r="Z126" s="7"/>
    </row>
    <row r="127" spans="1:26">
      <c r="A127" s="3"/>
      <c r="B127" s="12"/>
      <c r="C127" s="3"/>
      <c r="D127" s="86"/>
      <c r="E127" s="86"/>
      <c r="F127" s="3"/>
      <c r="G127" s="93" t="str">
        <f t="shared" si="3"/>
        <v/>
      </c>
      <c r="H127" s="94"/>
      <c r="I127" s="94"/>
      <c r="J127" s="94"/>
      <c r="K127" s="94"/>
      <c r="L127" s="95"/>
      <c r="M127" s="3"/>
      <c r="N127" s="86"/>
      <c r="O127" s="86"/>
      <c r="P127" s="3"/>
      <c r="Q127" s="27"/>
      <c r="R127" s="3"/>
      <c r="S127" s="97"/>
      <c r="T127" s="98"/>
      <c r="U127" s="98"/>
      <c r="V127" s="99"/>
      <c r="W127" s="17" t="str">
        <f t="shared" si="4"/>
        <v/>
      </c>
      <c r="X127" s="7"/>
      <c r="Y127" s="7"/>
      <c r="Z127" s="7"/>
    </row>
    <row r="128" spans="1:26">
      <c r="A128" s="3"/>
      <c r="B128" s="12"/>
      <c r="C128" s="3"/>
      <c r="D128" s="86"/>
      <c r="E128" s="86"/>
      <c r="F128" s="3"/>
      <c r="G128" s="93" t="str">
        <f t="shared" si="3"/>
        <v/>
      </c>
      <c r="H128" s="94"/>
      <c r="I128" s="94"/>
      <c r="J128" s="94"/>
      <c r="K128" s="94"/>
      <c r="L128" s="95"/>
      <c r="M128" s="3"/>
      <c r="N128" s="86"/>
      <c r="O128" s="86"/>
      <c r="P128" s="3"/>
      <c r="Q128" s="27"/>
      <c r="R128" s="3"/>
      <c r="S128" s="97"/>
      <c r="T128" s="98"/>
      <c r="U128" s="98"/>
      <c r="V128" s="99"/>
      <c r="W128" s="17" t="str">
        <f t="shared" si="4"/>
        <v/>
      </c>
      <c r="X128" s="7"/>
      <c r="Y128" s="7"/>
      <c r="Z128" s="7"/>
    </row>
    <row r="129" spans="1:26">
      <c r="A129" s="3"/>
      <c r="B129" s="12"/>
      <c r="C129" s="3"/>
      <c r="D129" s="86"/>
      <c r="E129" s="86"/>
      <c r="F129" s="3"/>
      <c r="G129" s="93" t="str">
        <f t="shared" si="3"/>
        <v/>
      </c>
      <c r="H129" s="94"/>
      <c r="I129" s="94"/>
      <c r="J129" s="94"/>
      <c r="K129" s="94"/>
      <c r="L129" s="95"/>
      <c r="M129" s="3"/>
      <c r="N129" s="86"/>
      <c r="O129" s="86"/>
      <c r="P129" s="3"/>
      <c r="Q129" s="27"/>
      <c r="R129" s="3"/>
      <c r="S129" s="97"/>
      <c r="T129" s="98"/>
      <c r="U129" s="98"/>
      <c r="V129" s="99"/>
      <c r="W129" s="17" t="str">
        <f t="shared" si="4"/>
        <v/>
      </c>
      <c r="X129" s="7"/>
      <c r="Y129" s="7"/>
      <c r="Z129" s="7"/>
    </row>
    <row r="130" spans="1:26">
      <c r="A130" s="3"/>
      <c r="B130" s="12"/>
      <c r="C130" s="3"/>
      <c r="D130" s="86"/>
      <c r="E130" s="86"/>
      <c r="F130" s="3"/>
      <c r="G130" s="93" t="str">
        <f t="shared" si="3"/>
        <v/>
      </c>
      <c r="H130" s="94"/>
      <c r="I130" s="94"/>
      <c r="J130" s="94"/>
      <c r="K130" s="94"/>
      <c r="L130" s="95"/>
      <c r="M130" s="3"/>
      <c r="N130" s="86"/>
      <c r="O130" s="86"/>
      <c r="P130" s="3"/>
      <c r="Q130" s="27"/>
      <c r="R130" s="3"/>
      <c r="S130" s="97"/>
      <c r="T130" s="98"/>
      <c r="U130" s="98"/>
      <c r="V130" s="99"/>
      <c r="W130" s="17" t="str">
        <f t="shared" si="4"/>
        <v/>
      </c>
      <c r="X130" s="7"/>
      <c r="Y130" s="7"/>
      <c r="Z130" s="7"/>
    </row>
    <row r="131" spans="1:26">
      <c r="A131" s="3"/>
      <c r="B131" s="12"/>
      <c r="C131" s="3"/>
      <c r="D131" s="86"/>
      <c r="E131" s="86"/>
      <c r="F131" s="3"/>
      <c r="G131" s="93" t="str">
        <f t="shared" si="3"/>
        <v/>
      </c>
      <c r="H131" s="94"/>
      <c r="I131" s="94"/>
      <c r="J131" s="94"/>
      <c r="K131" s="94"/>
      <c r="L131" s="95"/>
      <c r="M131" s="3"/>
      <c r="N131" s="86"/>
      <c r="O131" s="86"/>
      <c r="P131" s="3"/>
      <c r="Q131" s="27"/>
      <c r="R131" s="3"/>
      <c r="S131" s="97"/>
      <c r="T131" s="98"/>
      <c r="U131" s="98"/>
      <c r="V131" s="99"/>
      <c r="W131" s="17" t="str">
        <f t="shared" si="4"/>
        <v/>
      </c>
      <c r="X131" s="7"/>
      <c r="Y131" s="7"/>
      <c r="Z131" s="7"/>
    </row>
    <row r="132" spans="1:26">
      <c r="A132" s="3"/>
      <c r="B132" s="12"/>
      <c r="C132" s="3"/>
      <c r="D132" s="86"/>
      <c r="E132" s="86"/>
      <c r="F132" s="3"/>
      <c r="G132" s="93" t="str">
        <f t="shared" si="3"/>
        <v/>
      </c>
      <c r="H132" s="94"/>
      <c r="I132" s="94"/>
      <c r="J132" s="94"/>
      <c r="K132" s="94"/>
      <c r="L132" s="95"/>
      <c r="M132" s="3"/>
      <c r="N132" s="86"/>
      <c r="O132" s="86"/>
      <c r="P132" s="3"/>
      <c r="Q132" s="27"/>
      <c r="R132" s="3"/>
      <c r="S132" s="97"/>
      <c r="T132" s="98"/>
      <c r="U132" s="98"/>
      <c r="V132" s="99"/>
      <c r="W132" s="17" t="str">
        <f t="shared" si="4"/>
        <v/>
      </c>
      <c r="X132" s="7"/>
      <c r="Y132" s="7"/>
      <c r="Z132" s="7"/>
    </row>
    <row r="133" spans="1:26">
      <c r="A133" s="3"/>
      <c r="B133" s="12"/>
      <c r="C133" s="3"/>
      <c r="D133" s="86"/>
      <c r="E133" s="86"/>
      <c r="F133" s="3"/>
      <c r="G133" s="93" t="str">
        <f t="shared" si="3"/>
        <v/>
      </c>
      <c r="H133" s="94"/>
      <c r="I133" s="94"/>
      <c r="J133" s="94"/>
      <c r="K133" s="94"/>
      <c r="L133" s="95"/>
      <c r="M133" s="3"/>
      <c r="N133" s="86"/>
      <c r="O133" s="86"/>
      <c r="P133" s="3"/>
      <c r="Q133" s="27"/>
      <c r="R133" s="3"/>
      <c r="S133" s="97"/>
      <c r="T133" s="98"/>
      <c r="U133" s="98"/>
      <c r="V133" s="99"/>
      <c r="W133" s="17" t="str">
        <f t="shared" si="4"/>
        <v/>
      </c>
      <c r="X133" s="7"/>
      <c r="Y133" s="7"/>
      <c r="Z133" s="7"/>
    </row>
    <row r="134" spans="1:26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7"/>
      <c r="V134" s="7"/>
      <c r="W134" s="7"/>
      <c r="X134" s="7"/>
      <c r="Y134" s="7"/>
      <c r="Z134" s="7"/>
    </row>
    <row r="135" spans="1:26" hidden="1"/>
    <row r="136" spans="1:26" hidden="1"/>
    <row r="137" spans="1:26" hidden="1"/>
    <row r="138" spans="1:26" hidden="1"/>
    <row r="139" spans="1:26" hidden="1"/>
    <row r="140" spans="1:26" hidden="1"/>
    <row r="141" spans="1:26" hidden="1"/>
  </sheetData>
  <sheetProtection sheet="1" objects="1" scenarios="1" selectLockedCells="1"/>
  <mergeCells count="446">
    <mergeCell ref="S132:V132"/>
    <mergeCell ref="S133:V133"/>
    <mergeCell ref="S123:V123"/>
    <mergeCell ref="S124:V124"/>
    <mergeCell ref="S125:V125"/>
    <mergeCell ref="S126:V126"/>
    <mergeCell ref="S127:V127"/>
    <mergeCell ref="S128:V128"/>
    <mergeCell ref="S129:V129"/>
    <mergeCell ref="S130:V130"/>
    <mergeCell ref="S131:V131"/>
    <mergeCell ref="S57:V57"/>
    <mergeCell ref="S58:V58"/>
    <mergeCell ref="S59:V59"/>
    <mergeCell ref="S60:V60"/>
    <mergeCell ref="S61:V61"/>
    <mergeCell ref="S62:V62"/>
    <mergeCell ref="S63:V63"/>
    <mergeCell ref="S64:V64"/>
    <mergeCell ref="S65:V65"/>
    <mergeCell ref="S48:V48"/>
    <mergeCell ref="S49:V49"/>
    <mergeCell ref="S50:V50"/>
    <mergeCell ref="S51:V51"/>
    <mergeCell ref="S52:V52"/>
    <mergeCell ref="S53:V53"/>
    <mergeCell ref="S54:V54"/>
    <mergeCell ref="S55:V55"/>
    <mergeCell ref="S56:V56"/>
    <mergeCell ref="S39:V39"/>
    <mergeCell ref="S40:V40"/>
    <mergeCell ref="S41:V41"/>
    <mergeCell ref="S42:V42"/>
    <mergeCell ref="S43:V43"/>
    <mergeCell ref="S44:V44"/>
    <mergeCell ref="S45:V45"/>
    <mergeCell ref="S46:V46"/>
    <mergeCell ref="S47:V47"/>
    <mergeCell ref="S32:V32"/>
    <mergeCell ref="S34:V34"/>
    <mergeCell ref="N26:T30"/>
    <mergeCell ref="S35:V35"/>
    <mergeCell ref="S36:V36"/>
    <mergeCell ref="S37:V37"/>
    <mergeCell ref="S38:V38"/>
    <mergeCell ref="O4:Q4"/>
    <mergeCell ref="S112:V112"/>
    <mergeCell ref="S92:V92"/>
    <mergeCell ref="S93:V93"/>
    <mergeCell ref="S94:V94"/>
    <mergeCell ref="S95:V95"/>
    <mergeCell ref="S96:V96"/>
    <mergeCell ref="S97:V97"/>
    <mergeCell ref="S98:V98"/>
    <mergeCell ref="S99:V99"/>
    <mergeCell ref="S100:V100"/>
    <mergeCell ref="S101:V101"/>
    <mergeCell ref="S82:V82"/>
    <mergeCell ref="S83:V83"/>
    <mergeCell ref="S84:V84"/>
    <mergeCell ref="S85:V85"/>
    <mergeCell ref="S86:V86"/>
    <mergeCell ref="S122:V122"/>
    <mergeCell ref="S102:V102"/>
    <mergeCell ref="S103:V103"/>
    <mergeCell ref="S104:V104"/>
    <mergeCell ref="S105:V105"/>
    <mergeCell ref="S106:V106"/>
    <mergeCell ref="S107:V107"/>
    <mergeCell ref="S108:V108"/>
    <mergeCell ref="S109:V109"/>
    <mergeCell ref="S110:V110"/>
    <mergeCell ref="S111:V111"/>
    <mergeCell ref="S113:V113"/>
    <mergeCell ref="S114:V114"/>
    <mergeCell ref="S115:V115"/>
    <mergeCell ref="S116:V116"/>
    <mergeCell ref="S117:V117"/>
    <mergeCell ref="S118:V118"/>
    <mergeCell ref="S119:V119"/>
    <mergeCell ref="S120:V120"/>
    <mergeCell ref="S121:V121"/>
    <mergeCell ref="S87:V87"/>
    <mergeCell ref="S88:V88"/>
    <mergeCell ref="S89:V89"/>
    <mergeCell ref="S90:V90"/>
    <mergeCell ref="S91:V91"/>
    <mergeCell ref="S72:V72"/>
    <mergeCell ref="S73:V73"/>
    <mergeCell ref="S74:V74"/>
    <mergeCell ref="S75:V75"/>
    <mergeCell ref="S76:V76"/>
    <mergeCell ref="S77:V77"/>
    <mergeCell ref="S78:V78"/>
    <mergeCell ref="S79:V79"/>
    <mergeCell ref="S80:V80"/>
    <mergeCell ref="S81:V81"/>
    <mergeCell ref="S66:V66"/>
    <mergeCell ref="S67:V67"/>
    <mergeCell ref="S68:V68"/>
    <mergeCell ref="S69:V69"/>
    <mergeCell ref="S70:V70"/>
    <mergeCell ref="S71:V71"/>
    <mergeCell ref="N133:O133"/>
    <mergeCell ref="L15:N15"/>
    <mergeCell ref="L13:N13"/>
    <mergeCell ref="N110:O110"/>
    <mergeCell ref="N111:O111"/>
    <mergeCell ref="N102:O102"/>
    <mergeCell ref="N103:O103"/>
    <mergeCell ref="N104:O104"/>
    <mergeCell ref="N105:O105"/>
    <mergeCell ref="N106:O106"/>
    <mergeCell ref="N97:O97"/>
    <mergeCell ref="N98:O98"/>
    <mergeCell ref="N99:O99"/>
    <mergeCell ref="N100:O100"/>
    <mergeCell ref="N101:O101"/>
    <mergeCell ref="N92:O92"/>
    <mergeCell ref="N93:O93"/>
    <mergeCell ref="N94:O94"/>
    <mergeCell ref="N107:O107"/>
    <mergeCell ref="N108:O108"/>
    <mergeCell ref="N109:O109"/>
    <mergeCell ref="N120:O120"/>
    <mergeCell ref="N121:O121"/>
    <mergeCell ref="N112:O112"/>
    <mergeCell ref="N132:O132"/>
    <mergeCell ref="N117:O117"/>
    <mergeCell ref="N118:O118"/>
    <mergeCell ref="N119:O119"/>
    <mergeCell ref="N113:O113"/>
    <mergeCell ref="N114:O114"/>
    <mergeCell ref="N115:O115"/>
    <mergeCell ref="N116:O116"/>
    <mergeCell ref="N127:O127"/>
    <mergeCell ref="N128:O128"/>
    <mergeCell ref="N129:O129"/>
    <mergeCell ref="N130:O130"/>
    <mergeCell ref="N131:O131"/>
    <mergeCell ref="N122:O122"/>
    <mergeCell ref="N123:O123"/>
    <mergeCell ref="N124:O124"/>
    <mergeCell ref="N125:O125"/>
    <mergeCell ref="N126:O126"/>
    <mergeCell ref="N95:O95"/>
    <mergeCell ref="N96:O96"/>
    <mergeCell ref="N87:O87"/>
    <mergeCell ref="N88:O88"/>
    <mergeCell ref="N89:O89"/>
    <mergeCell ref="N90:O90"/>
    <mergeCell ref="N91:O91"/>
    <mergeCell ref="N82:O82"/>
    <mergeCell ref="N83:O83"/>
    <mergeCell ref="N84:O84"/>
    <mergeCell ref="N85:O85"/>
    <mergeCell ref="N86:O86"/>
    <mergeCell ref="N77:O77"/>
    <mergeCell ref="N78:O78"/>
    <mergeCell ref="N79:O79"/>
    <mergeCell ref="N80:O80"/>
    <mergeCell ref="N81:O81"/>
    <mergeCell ref="N72:O72"/>
    <mergeCell ref="N73:O73"/>
    <mergeCell ref="N74:O74"/>
    <mergeCell ref="N75:O75"/>
    <mergeCell ref="N76:O76"/>
    <mergeCell ref="N67:O67"/>
    <mergeCell ref="N68:O68"/>
    <mergeCell ref="N69:O69"/>
    <mergeCell ref="N70:O70"/>
    <mergeCell ref="N71:O71"/>
    <mergeCell ref="N62:O62"/>
    <mergeCell ref="N63:O63"/>
    <mergeCell ref="N64:O64"/>
    <mergeCell ref="N65:O65"/>
    <mergeCell ref="N66:O66"/>
    <mergeCell ref="N57:O57"/>
    <mergeCell ref="N58:O58"/>
    <mergeCell ref="N59:O59"/>
    <mergeCell ref="N60:O60"/>
    <mergeCell ref="N61:O61"/>
    <mergeCell ref="N52:O52"/>
    <mergeCell ref="N53:O53"/>
    <mergeCell ref="N54:O54"/>
    <mergeCell ref="N55:O55"/>
    <mergeCell ref="N56:O56"/>
    <mergeCell ref="N47:O47"/>
    <mergeCell ref="N48:O48"/>
    <mergeCell ref="N49:O49"/>
    <mergeCell ref="N50:O50"/>
    <mergeCell ref="N51:O51"/>
    <mergeCell ref="N42:O42"/>
    <mergeCell ref="N43:O43"/>
    <mergeCell ref="N44:O44"/>
    <mergeCell ref="N45:O45"/>
    <mergeCell ref="N46:O46"/>
    <mergeCell ref="N37:O37"/>
    <mergeCell ref="N38:O38"/>
    <mergeCell ref="N39:O39"/>
    <mergeCell ref="N40:O40"/>
    <mergeCell ref="N41:O41"/>
    <mergeCell ref="N32:O32"/>
    <mergeCell ref="N33:O33"/>
    <mergeCell ref="N34:O34"/>
    <mergeCell ref="N35:O35"/>
    <mergeCell ref="N36:O36"/>
    <mergeCell ref="G129:L129"/>
    <mergeCell ref="G130:L130"/>
    <mergeCell ref="G131:L131"/>
    <mergeCell ref="G132:L132"/>
    <mergeCell ref="G133:L133"/>
    <mergeCell ref="G124:L124"/>
    <mergeCell ref="G125:L125"/>
    <mergeCell ref="G126:L126"/>
    <mergeCell ref="G127:L127"/>
    <mergeCell ref="G128:L128"/>
    <mergeCell ref="G119:L119"/>
    <mergeCell ref="G120:L120"/>
    <mergeCell ref="G121:L121"/>
    <mergeCell ref="G122:L122"/>
    <mergeCell ref="G123:L123"/>
    <mergeCell ref="G114:L114"/>
    <mergeCell ref="G115:L115"/>
    <mergeCell ref="G116:L116"/>
    <mergeCell ref="G117:L117"/>
    <mergeCell ref="G118:L118"/>
    <mergeCell ref="G109:L109"/>
    <mergeCell ref="G110:L110"/>
    <mergeCell ref="G111:L111"/>
    <mergeCell ref="G112:L112"/>
    <mergeCell ref="G113:L113"/>
    <mergeCell ref="G104:L104"/>
    <mergeCell ref="G105:L105"/>
    <mergeCell ref="G106:L106"/>
    <mergeCell ref="G107:L107"/>
    <mergeCell ref="G108:L108"/>
    <mergeCell ref="G99:L99"/>
    <mergeCell ref="G100:L100"/>
    <mergeCell ref="G101:L101"/>
    <mergeCell ref="G102:L102"/>
    <mergeCell ref="G103:L103"/>
    <mergeCell ref="G94:L94"/>
    <mergeCell ref="G95:L95"/>
    <mergeCell ref="G96:L96"/>
    <mergeCell ref="G97:L97"/>
    <mergeCell ref="G98:L98"/>
    <mergeCell ref="G89:L89"/>
    <mergeCell ref="G90:L90"/>
    <mergeCell ref="G91:L91"/>
    <mergeCell ref="G92:L92"/>
    <mergeCell ref="G93:L93"/>
    <mergeCell ref="G84:L84"/>
    <mergeCell ref="G85:L85"/>
    <mergeCell ref="G86:L86"/>
    <mergeCell ref="G87:L87"/>
    <mergeCell ref="G88:L88"/>
    <mergeCell ref="G79:L79"/>
    <mergeCell ref="G80:L80"/>
    <mergeCell ref="G81:L81"/>
    <mergeCell ref="G82:L82"/>
    <mergeCell ref="G83:L83"/>
    <mergeCell ref="G74:L74"/>
    <mergeCell ref="G75:L75"/>
    <mergeCell ref="G76:L76"/>
    <mergeCell ref="G77:L77"/>
    <mergeCell ref="G78:L78"/>
    <mergeCell ref="G69:L69"/>
    <mergeCell ref="G70:L70"/>
    <mergeCell ref="G71:L71"/>
    <mergeCell ref="G72:L72"/>
    <mergeCell ref="G73:L73"/>
    <mergeCell ref="G64:L64"/>
    <mergeCell ref="G65:L65"/>
    <mergeCell ref="G66:L66"/>
    <mergeCell ref="G67:L67"/>
    <mergeCell ref="G68:L68"/>
    <mergeCell ref="G59:L59"/>
    <mergeCell ref="G60:L60"/>
    <mergeCell ref="G61:L61"/>
    <mergeCell ref="G62:L62"/>
    <mergeCell ref="G63:L63"/>
    <mergeCell ref="G54:L54"/>
    <mergeCell ref="G55:L55"/>
    <mergeCell ref="G56:L56"/>
    <mergeCell ref="G57:L57"/>
    <mergeCell ref="G58:L58"/>
    <mergeCell ref="G49:L49"/>
    <mergeCell ref="G50:L50"/>
    <mergeCell ref="G51:L51"/>
    <mergeCell ref="G52:L52"/>
    <mergeCell ref="G53:L53"/>
    <mergeCell ref="G44:L44"/>
    <mergeCell ref="G45:L45"/>
    <mergeCell ref="G46:L46"/>
    <mergeCell ref="G47:L47"/>
    <mergeCell ref="G48:L48"/>
    <mergeCell ref="D133:E133"/>
    <mergeCell ref="D33:E33"/>
    <mergeCell ref="G32:L32"/>
    <mergeCell ref="G33:H33"/>
    <mergeCell ref="I33:J33"/>
    <mergeCell ref="K33:L33"/>
    <mergeCell ref="G34:L34"/>
    <mergeCell ref="G35:L35"/>
    <mergeCell ref="G36:L36"/>
    <mergeCell ref="G37:L37"/>
    <mergeCell ref="G38:L38"/>
    <mergeCell ref="G39:L39"/>
    <mergeCell ref="G40:L40"/>
    <mergeCell ref="G41:L41"/>
    <mergeCell ref="G42:L42"/>
    <mergeCell ref="G43:L43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2:E32"/>
    <mergeCell ref="D34:E34"/>
    <mergeCell ref="D35:E35"/>
    <mergeCell ref="D36:E36"/>
    <mergeCell ref="D37:E37"/>
    <mergeCell ref="B30:D30"/>
    <mergeCell ref="E30:I30"/>
    <mergeCell ref="B26:D26"/>
    <mergeCell ref="E26:I26"/>
    <mergeCell ref="E28:I28"/>
    <mergeCell ref="B28:D28"/>
    <mergeCell ref="B17:D17"/>
    <mergeCell ref="E17:I17"/>
    <mergeCell ref="L17:N17"/>
    <mergeCell ref="B20:D20"/>
    <mergeCell ref="E20:I20"/>
    <mergeCell ref="B22:D22"/>
    <mergeCell ref="E22:I22"/>
    <mergeCell ref="B24:D24"/>
    <mergeCell ref="E24:I24"/>
    <mergeCell ref="L20:T24"/>
    <mergeCell ref="O17:T17"/>
    <mergeCell ref="I2:T2"/>
    <mergeCell ref="B15:D15"/>
    <mergeCell ref="E15:I15"/>
    <mergeCell ref="F7:I7"/>
    <mergeCell ref="E9:I9"/>
    <mergeCell ref="E11:I11"/>
    <mergeCell ref="E13:I13"/>
    <mergeCell ref="B7:D7"/>
    <mergeCell ref="B13:D13"/>
    <mergeCell ref="L7:N7"/>
    <mergeCell ref="P7:T7"/>
    <mergeCell ref="O9:T9"/>
    <mergeCell ref="O11:T11"/>
    <mergeCell ref="O13:T13"/>
    <mergeCell ref="O15:T15"/>
    <mergeCell ref="R4:S4"/>
  </mergeCells>
  <dataValidations count="3">
    <dataValidation type="list" allowBlank="1" showInputMessage="1" showErrorMessage="1" prompt="Please Select Destination Location, Select &quot;Others&quot; if location is not on the list" sqref="O7">
      <formula1>WORG</formula1>
    </dataValidation>
    <dataValidation type="date" allowBlank="1" showInputMessage="1" showErrorMessage="1" error="Please Enter a Valid Date" sqref="R4:S4 E30:I30 E28:I28">
      <formula1>TODAY()-1</formula1>
      <formula2>401769</formula2>
    </dataValidation>
    <dataValidation type="list" allowBlank="1" showInputMessage="1" showErrorMessage="1" prompt="Please Select Origin Location, Select &quot;Others&quot; if location is not on the list" sqref="E7">
      <formula1>WORG</formula1>
    </dataValidation>
  </dataValidations>
  <pageMargins left="0.7" right="0.7" top="0.75" bottom="0.75" header="0.3" footer="0.3"/>
  <pageSetup orientation="portrait" r:id="rId1"/>
  <ignoredErrors>
    <ignoredError sqref="R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5"/>
  <sheetViews>
    <sheetView workbookViewId="0">
      <selection activeCell="D27" sqref="D27"/>
    </sheetView>
  </sheetViews>
  <sheetFormatPr defaultRowHeight="11.25"/>
  <cols>
    <col min="1" max="1" width="13.42578125" style="39" bestFit="1" customWidth="1"/>
    <col min="2" max="2" width="36.42578125" style="39" bestFit="1" customWidth="1"/>
    <col min="3" max="3" width="18.140625" style="39" bestFit="1" customWidth="1"/>
    <col min="4" max="4" width="17.42578125" style="39" bestFit="1" customWidth="1"/>
    <col min="5" max="5" width="12.28515625" style="39" bestFit="1" customWidth="1"/>
    <col min="6" max="6" width="12.140625" style="39" bestFit="1" customWidth="1"/>
    <col min="7" max="7" width="93" style="39" bestFit="1" customWidth="1"/>
    <col min="8" max="16384" width="9.140625" style="39"/>
  </cols>
  <sheetData>
    <row r="1" spans="1:7">
      <c r="A1" s="34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</row>
    <row r="2" spans="1:7">
      <c r="A2" s="34" t="s">
        <v>8</v>
      </c>
      <c r="B2" s="35" t="s">
        <v>5076</v>
      </c>
      <c r="C2" s="35" t="s">
        <v>5077</v>
      </c>
      <c r="D2" s="35" t="s">
        <v>5078</v>
      </c>
      <c r="E2" s="35" t="s">
        <v>5079</v>
      </c>
      <c r="F2" s="35" t="s">
        <v>5080</v>
      </c>
      <c r="G2" s="36" t="s">
        <v>5239</v>
      </c>
    </row>
    <row r="3" spans="1:7">
      <c r="A3" s="34" t="s">
        <v>7</v>
      </c>
      <c r="B3" s="35" t="s">
        <v>22</v>
      </c>
      <c r="C3" s="35" t="s">
        <v>23</v>
      </c>
      <c r="D3" s="35" t="s">
        <v>24</v>
      </c>
      <c r="E3" s="35" t="s">
        <v>5200</v>
      </c>
      <c r="F3" s="35" t="s">
        <v>26</v>
      </c>
      <c r="G3" s="36" t="s">
        <v>5240</v>
      </c>
    </row>
    <row r="4" spans="1:7">
      <c r="A4" s="34" t="s">
        <v>9</v>
      </c>
      <c r="B4" s="35" t="s">
        <v>31</v>
      </c>
      <c r="C4" s="35" t="s">
        <v>27</v>
      </c>
      <c r="D4" s="35" t="s">
        <v>28</v>
      </c>
      <c r="E4" s="35" t="s">
        <v>29</v>
      </c>
      <c r="F4" s="35" t="s">
        <v>30</v>
      </c>
      <c r="G4" s="36" t="s">
        <v>5241</v>
      </c>
    </row>
    <row r="5" spans="1:7">
      <c r="A5" s="34" t="s">
        <v>10</v>
      </c>
      <c r="B5" s="35" t="s">
        <v>32</v>
      </c>
      <c r="C5" s="35" t="s">
        <v>33</v>
      </c>
      <c r="D5" s="35" t="s">
        <v>34</v>
      </c>
      <c r="E5" s="35" t="s">
        <v>35</v>
      </c>
      <c r="F5" s="35" t="s">
        <v>36</v>
      </c>
      <c r="G5" s="36" t="s">
        <v>5242</v>
      </c>
    </row>
    <row r="6" spans="1:7">
      <c r="A6" s="34" t="s">
        <v>11</v>
      </c>
      <c r="B6" s="35" t="s">
        <v>51</v>
      </c>
      <c r="C6" s="35" t="s">
        <v>37</v>
      </c>
      <c r="D6" s="35" t="s">
        <v>38</v>
      </c>
      <c r="E6" s="35" t="s">
        <v>5201</v>
      </c>
      <c r="F6" s="35" t="s">
        <v>5203</v>
      </c>
      <c r="G6" s="36" t="s">
        <v>5202</v>
      </c>
    </row>
    <row r="7" spans="1:7">
      <c r="A7" s="34" t="s">
        <v>12</v>
      </c>
      <c r="B7" s="35" t="s">
        <v>52</v>
      </c>
      <c r="C7" s="35" t="s">
        <v>42</v>
      </c>
      <c r="D7" s="35" t="s">
        <v>43</v>
      </c>
      <c r="E7" s="35" t="s">
        <v>5204</v>
      </c>
      <c r="F7" s="35" t="s">
        <v>5206</v>
      </c>
      <c r="G7" s="36" t="s">
        <v>5205</v>
      </c>
    </row>
    <row r="8" spans="1:7">
      <c r="A8" s="34" t="s">
        <v>13</v>
      </c>
      <c r="B8" s="35" t="s">
        <v>54</v>
      </c>
      <c r="C8" s="35" t="s">
        <v>44</v>
      </c>
      <c r="D8" s="35" t="s">
        <v>45</v>
      </c>
      <c r="E8" s="35" t="s">
        <v>5208</v>
      </c>
      <c r="F8" s="35" t="s">
        <v>5207</v>
      </c>
      <c r="G8" s="36" t="s">
        <v>5243</v>
      </c>
    </row>
    <row r="9" spans="1:7">
      <c r="A9" s="34" t="s">
        <v>14</v>
      </c>
      <c r="B9" s="35" t="s">
        <v>53</v>
      </c>
      <c r="C9" s="35" t="s">
        <v>46</v>
      </c>
      <c r="D9" s="35" t="s">
        <v>47</v>
      </c>
      <c r="E9" s="37" t="s">
        <v>5209</v>
      </c>
      <c r="F9" s="35" t="s">
        <v>48</v>
      </c>
      <c r="G9" s="38" t="s">
        <v>49</v>
      </c>
    </row>
    <row r="10" spans="1:7">
      <c r="A10" s="34" t="s">
        <v>15</v>
      </c>
      <c r="B10" s="34" t="s">
        <v>58</v>
      </c>
      <c r="C10" s="34" t="s">
        <v>58</v>
      </c>
      <c r="D10" s="34" t="s">
        <v>58</v>
      </c>
      <c r="E10" s="34" t="s">
        <v>58</v>
      </c>
      <c r="F10" s="34" t="s">
        <v>58</v>
      </c>
      <c r="G10" s="34" t="s">
        <v>58</v>
      </c>
    </row>
    <row r="11" spans="1:7">
      <c r="A11" s="34" t="s">
        <v>16</v>
      </c>
      <c r="B11" s="35" t="s">
        <v>5212</v>
      </c>
      <c r="C11" s="35" t="s">
        <v>5213</v>
      </c>
      <c r="D11" s="35" t="s">
        <v>5214</v>
      </c>
      <c r="E11" s="35" t="s">
        <v>5210</v>
      </c>
      <c r="F11" s="35" t="s">
        <v>5218</v>
      </c>
      <c r="G11" s="36" t="s">
        <v>5211</v>
      </c>
    </row>
    <row r="12" spans="1:7">
      <c r="A12" s="34" t="s">
        <v>5055</v>
      </c>
      <c r="B12" s="35" t="s">
        <v>22</v>
      </c>
      <c r="C12" s="35" t="s">
        <v>23</v>
      </c>
      <c r="D12" s="35" t="s">
        <v>24</v>
      </c>
      <c r="E12" s="35" t="s">
        <v>25</v>
      </c>
      <c r="F12" s="35" t="s">
        <v>26</v>
      </c>
      <c r="G12" s="36" t="s">
        <v>5244</v>
      </c>
    </row>
    <row r="13" spans="1:7">
      <c r="A13" s="34" t="s">
        <v>5056</v>
      </c>
      <c r="B13" s="35" t="s">
        <v>31</v>
      </c>
      <c r="C13" s="35" t="s">
        <v>27</v>
      </c>
      <c r="D13" s="35" t="s">
        <v>28</v>
      </c>
      <c r="E13" s="35" t="s">
        <v>29</v>
      </c>
      <c r="F13" s="35" t="s">
        <v>30</v>
      </c>
      <c r="G13" s="36" t="s">
        <v>5241</v>
      </c>
    </row>
    <row r="14" spans="1:7">
      <c r="A14" s="34" t="s">
        <v>5058</v>
      </c>
      <c r="B14" s="35" t="s">
        <v>51</v>
      </c>
      <c r="C14" s="35" t="s">
        <v>37</v>
      </c>
      <c r="D14" s="35" t="s">
        <v>38</v>
      </c>
      <c r="E14" s="35" t="s">
        <v>39</v>
      </c>
      <c r="F14" s="35" t="s">
        <v>40</v>
      </c>
      <c r="G14" s="36" t="s">
        <v>41</v>
      </c>
    </row>
    <row r="15" spans="1:7">
      <c r="A15" s="34" t="s">
        <v>5057</v>
      </c>
      <c r="B15" s="35" t="s">
        <v>21</v>
      </c>
      <c r="C15" s="35" t="s">
        <v>17</v>
      </c>
      <c r="D15" s="35" t="s">
        <v>18</v>
      </c>
      <c r="E15" s="35" t="s">
        <v>19</v>
      </c>
      <c r="F15" s="35" t="s">
        <v>20</v>
      </c>
      <c r="G15" s="36" t="s">
        <v>5245</v>
      </c>
    </row>
    <row r="16" spans="1:7">
      <c r="A16" s="34" t="s">
        <v>5034</v>
      </c>
      <c r="B16" s="35" t="s">
        <v>5026</v>
      </c>
      <c r="C16" s="35" t="s">
        <v>5025</v>
      </c>
      <c r="D16" s="35" t="s">
        <v>5027</v>
      </c>
      <c r="E16" s="35" t="s">
        <v>5028</v>
      </c>
      <c r="F16" s="35" t="s">
        <v>50</v>
      </c>
      <c r="G16" s="36" t="s">
        <v>5029</v>
      </c>
    </row>
    <row r="17" spans="1:7">
      <c r="A17" s="34" t="s">
        <v>5035</v>
      </c>
      <c r="B17" s="35" t="s">
        <v>5026</v>
      </c>
      <c r="C17" s="35" t="s">
        <v>5030</v>
      </c>
      <c r="D17" s="35" t="s">
        <v>5031</v>
      </c>
      <c r="E17" s="35" t="s">
        <v>5032</v>
      </c>
      <c r="F17" s="35" t="s">
        <v>5033</v>
      </c>
      <c r="G17" s="36" t="s">
        <v>5059</v>
      </c>
    </row>
    <row r="18" spans="1:7">
      <c r="A18" s="34" t="s">
        <v>5036</v>
      </c>
      <c r="B18" s="35" t="s">
        <v>5026</v>
      </c>
      <c r="C18" s="35" t="s">
        <v>5037</v>
      </c>
      <c r="D18" s="35" t="s">
        <v>5038</v>
      </c>
      <c r="E18" s="35" t="s">
        <v>5039</v>
      </c>
      <c r="F18" s="35" t="s">
        <v>5040</v>
      </c>
      <c r="G18" s="36" t="s">
        <v>5041</v>
      </c>
    </row>
    <row r="19" spans="1:7">
      <c r="A19" s="34" t="s">
        <v>5042</v>
      </c>
      <c r="B19" s="35" t="s">
        <v>5043</v>
      </c>
      <c r="C19" s="35" t="s">
        <v>5044</v>
      </c>
      <c r="D19" s="35" t="s">
        <v>5045</v>
      </c>
      <c r="E19" s="35" t="s">
        <v>5046</v>
      </c>
      <c r="F19" s="35" t="s">
        <v>5047</v>
      </c>
      <c r="G19" s="36" t="s">
        <v>5059</v>
      </c>
    </row>
    <row r="20" spans="1:7">
      <c r="A20" s="34" t="s">
        <v>5048</v>
      </c>
      <c r="B20" s="35" t="s">
        <v>5049</v>
      </c>
      <c r="C20" s="35" t="s">
        <v>5050</v>
      </c>
      <c r="D20" s="35" t="s">
        <v>5051</v>
      </c>
      <c r="E20" s="35" t="s">
        <v>5052</v>
      </c>
      <c r="F20" s="35" t="s">
        <v>5053</v>
      </c>
      <c r="G20" s="36" t="s">
        <v>5059</v>
      </c>
    </row>
    <row r="21" spans="1:7">
      <c r="A21" s="34" t="s">
        <v>5215</v>
      </c>
      <c r="B21" s="35" t="s">
        <v>5219</v>
      </c>
      <c r="C21" s="35" t="s">
        <v>5221</v>
      </c>
      <c r="D21" s="35" t="s">
        <v>5222</v>
      </c>
      <c r="E21" s="35" t="s">
        <v>5220</v>
      </c>
      <c r="F21" s="35">
        <v>4806431877</v>
      </c>
      <c r="G21" s="36" t="s">
        <v>5223</v>
      </c>
    </row>
    <row r="22" spans="1:7">
      <c r="A22" s="34" t="s">
        <v>5216</v>
      </c>
      <c r="B22" s="35" t="s">
        <v>5224</v>
      </c>
      <c r="C22" s="35" t="s">
        <v>5233</v>
      </c>
      <c r="D22" s="35" t="s">
        <v>5234</v>
      </c>
      <c r="E22" s="35" t="s">
        <v>5235</v>
      </c>
      <c r="F22" s="35" t="s">
        <v>5236</v>
      </c>
      <c r="G22" s="36" t="s">
        <v>5237</v>
      </c>
    </row>
    <row r="23" spans="1:7">
      <c r="A23" s="34" t="s">
        <v>5217</v>
      </c>
      <c r="B23" s="35" t="s">
        <v>5224</v>
      </c>
      <c r="C23" s="35" t="s">
        <v>5225</v>
      </c>
      <c r="D23" s="35" t="s">
        <v>5226</v>
      </c>
      <c r="E23" s="35" t="s">
        <v>5227</v>
      </c>
      <c r="F23" s="35" t="s">
        <v>5229</v>
      </c>
      <c r="G23" s="36" t="s">
        <v>5230</v>
      </c>
    </row>
    <row r="24" spans="1:7">
      <c r="A24" s="34" t="s">
        <v>5238</v>
      </c>
      <c r="B24" s="35" t="s">
        <v>5224</v>
      </c>
      <c r="C24" s="35" t="s">
        <v>5225</v>
      </c>
      <c r="D24" s="35" t="s">
        <v>5226</v>
      </c>
      <c r="E24" s="35" t="s">
        <v>5228</v>
      </c>
      <c r="F24" s="35" t="s">
        <v>5231</v>
      </c>
      <c r="G24" s="36" t="s">
        <v>5232</v>
      </c>
    </row>
    <row r="25" spans="1:7">
      <c r="A25" s="34" t="s">
        <v>5054</v>
      </c>
      <c r="B25" s="35"/>
      <c r="C25" s="35"/>
      <c r="D25" s="35"/>
      <c r="E25" s="35"/>
      <c r="F25" s="35"/>
      <c r="G25" s="36"/>
    </row>
  </sheetData>
  <autoFilter ref="A1:G1"/>
  <hyperlinks>
    <hyperlink ref="G3" r:id="rId1" display="cpayne@mccollisters.com / "/>
    <hyperlink ref="G4" r:id="rId2" display="kinks@mccollisters.com / "/>
    <hyperlink ref="G5" r:id="rId3" display="nowens@mccollisters.com / "/>
    <hyperlink ref="G6" r:id="rId4"/>
    <hyperlink ref="G8" r:id="rId5" display="nowens@mccollisters.com / "/>
    <hyperlink ref="G9" r:id="rId6" display="mailto:sreuter@mccollisters.com"/>
    <hyperlink ref="G12" r:id="rId7" display="cpayne@mccollisters.com / "/>
    <hyperlink ref="G13" r:id="rId8" display="kinks@mccollisters.com / "/>
    <hyperlink ref="G15" r:id="rId9" display="cpayne@mccollisters.com / "/>
    <hyperlink ref="G14" r:id="rId10"/>
    <hyperlink ref="G2" r:id="rId11" display="cpayne@mccollisters.com / "/>
    <hyperlink ref="G11" r:id="rId12"/>
    <hyperlink ref="G21" r:id="rId13"/>
    <hyperlink ref="G23" r:id="rId14"/>
    <hyperlink ref="G24" r:id="rId15"/>
    <hyperlink ref="G22" r:id="rId16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5064"/>
  <sheetViews>
    <sheetView topLeftCell="A5002" zoomScale="90" zoomScaleNormal="90" workbookViewId="0">
      <selection activeCell="A5064" sqref="A5064:XFD5090"/>
    </sheetView>
  </sheetViews>
  <sheetFormatPr defaultRowHeight="12.75"/>
  <cols>
    <col min="1" max="1" width="9.140625" style="1"/>
    <col min="2" max="2" width="90.7109375" style="1" customWidth="1"/>
    <col min="3" max="16384" width="9.140625" style="1"/>
  </cols>
  <sheetData>
    <row r="1" spans="1:2">
      <c r="A1" s="1" t="s">
        <v>68</v>
      </c>
      <c r="B1" s="1" t="s">
        <v>64</v>
      </c>
    </row>
    <row r="2" spans="1:2">
      <c r="A2" s="23">
        <v>100222</v>
      </c>
      <c r="B2" s="1" t="s">
        <v>69</v>
      </c>
    </row>
    <row r="3" spans="1:2">
      <c r="A3" s="23">
        <v>100238</v>
      </c>
      <c r="B3" s="1" t="s">
        <v>70</v>
      </c>
    </row>
    <row r="4" spans="1:2">
      <c r="A4" s="23">
        <v>100242</v>
      </c>
      <c r="B4" s="1" t="s">
        <v>71</v>
      </c>
    </row>
    <row r="5" spans="1:2">
      <c r="A5" s="23">
        <v>100243</v>
      </c>
      <c r="B5" s="1" t="s">
        <v>72</v>
      </c>
    </row>
    <row r="6" spans="1:2">
      <c r="A6" s="23">
        <v>101536</v>
      </c>
      <c r="B6" s="1" t="s">
        <v>73</v>
      </c>
    </row>
    <row r="7" spans="1:2">
      <c r="A7" s="23">
        <v>101746</v>
      </c>
      <c r="B7" s="1" t="s">
        <v>74</v>
      </c>
    </row>
    <row r="8" spans="1:2">
      <c r="A8" s="23">
        <v>102046</v>
      </c>
      <c r="B8" s="1" t="s">
        <v>75</v>
      </c>
    </row>
    <row r="9" spans="1:2">
      <c r="A9" s="23">
        <v>102210</v>
      </c>
      <c r="B9" s="1" t="s">
        <v>76</v>
      </c>
    </row>
    <row r="10" spans="1:2">
      <c r="A10" s="23">
        <v>102247</v>
      </c>
      <c r="B10" s="1" t="s">
        <v>77</v>
      </c>
    </row>
    <row r="11" spans="1:2">
      <c r="A11" s="23">
        <v>102303</v>
      </c>
      <c r="B11" s="1" t="s">
        <v>78</v>
      </c>
    </row>
    <row r="12" spans="1:2">
      <c r="A12" s="23">
        <v>102472</v>
      </c>
      <c r="B12" s="1" t="s">
        <v>79</v>
      </c>
    </row>
    <row r="13" spans="1:2">
      <c r="A13" s="23">
        <v>102597</v>
      </c>
      <c r="B13" s="1" t="s">
        <v>80</v>
      </c>
    </row>
    <row r="14" spans="1:2">
      <c r="A14" s="23">
        <v>102598</v>
      </c>
      <c r="B14" s="1" t="s">
        <v>81</v>
      </c>
    </row>
    <row r="15" spans="1:2">
      <c r="A15" s="23">
        <v>102599</v>
      </c>
      <c r="B15" s="1" t="s">
        <v>82</v>
      </c>
    </row>
    <row r="16" spans="1:2">
      <c r="A16" s="23">
        <v>102755</v>
      </c>
      <c r="B16" s="1" t="s">
        <v>83</v>
      </c>
    </row>
    <row r="17" spans="1:2">
      <c r="A17" s="23">
        <v>102756</v>
      </c>
      <c r="B17" s="1" t="s">
        <v>84</v>
      </c>
    </row>
    <row r="18" spans="1:2">
      <c r="A18" s="23">
        <v>102757</v>
      </c>
      <c r="B18" s="1" t="s">
        <v>85</v>
      </c>
    </row>
    <row r="19" spans="1:2">
      <c r="A19" s="23">
        <v>102758</v>
      </c>
      <c r="B19" s="1" t="s">
        <v>86</v>
      </c>
    </row>
    <row r="20" spans="1:2">
      <c r="A20" s="23">
        <v>102759</v>
      </c>
      <c r="B20" s="1" t="s">
        <v>87</v>
      </c>
    </row>
    <row r="21" spans="1:2">
      <c r="A21" s="23">
        <v>102868</v>
      </c>
      <c r="B21" s="1" t="s">
        <v>88</v>
      </c>
    </row>
    <row r="22" spans="1:2">
      <c r="A22" s="23">
        <v>102869</v>
      </c>
      <c r="B22" s="1" t="s">
        <v>89</v>
      </c>
    </row>
    <row r="23" spans="1:2">
      <c r="A23" s="23">
        <v>103030</v>
      </c>
      <c r="B23" s="1" t="s">
        <v>90</v>
      </c>
    </row>
    <row r="24" spans="1:2">
      <c r="A24" s="23">
        <v>103906</v>
      </c>
      <c r="B24" s="1" t="s">
        <v>91</v>
      </c>
    </row>
    <row r="25" spans="1:2">
      <c r="A25" s="23">
        <v>103907</v>
      </c>
      <c r="B25" s="1" t="s">
        <v>92</v>
      </c>
    </row>
    <row r="26" spans="1:2">
      <c r="A26" s="23">
        <v>103950</v>
      </c>
      <c r="B26" s="1" t="s">
        <v>93</v>
      </c>
    </row>
    <row r="27" spans="1:2">
      <c r="A27" s="23">
        <v>104020</v>
      </c>
      <c r="B27" s="1" t="s">
        <v>94</v>
      </c>
    </row>
    <row r="28" spans="1:2">
      <c r="A28" s="23">
        <v>104021</v>
      </c>
      <c r="B28" s="1" t="s">
        <v>95</v>
      </c>
    </row>
    <row r="29" spans="1:2">
      <c r="A29" s="23">
        <v>104022</v>
      </c>
      <c r="B29" s="1" t="s">
        <v>96</v>
      </c>
    </row>
    <row r="30" spans="1:2">
      <c r="A30" s="23">
        <v>104023</v>
      </c>
      <c r="B30" s="1" t="s">
        <v>97</v>
      </c>
    </row>
    <row r="31" spans="1:2">
      <c r="A31" s="23">
        <v>104024</v>
      </c>
      <c r="B31" s="1" t="s">
        <v>98</v>
      </c>
    </row>
    <row r="32" spans="1:2">
      <c r="A32" s="23">
        <v>104025</v>
      </c>
      <c r="B32" s="1" t="s">
        <v>99</v>
      </c>
    </row>
    <row r="33" spans="1:2">
      <c r="A33" s="23">
        <v>104026</v>
      </c>
      <c r="B33" s="1" t="s">
        <v>100</v>
      </c>
    </row>
    <row r="34" spans="1:2">
      <c r="A34" s="23">
        <v>104032</v>
      </c>
      <c r="B34" s="1" t="s">
        <v>101</v>
      </c>
    </row>
    <row r="35" spans="1:2">
      <c r="A35" s="23">
        <v>104048</v>
      </c>
      <c r="B35" s="1" t="s">
        <v>102</v>
      </c>
    </row>
    <row r="36" spans="1:2">
      <c r="A36" s="23">
        <v>104049</v>
      </c>
      <c r="B36" s="1" t="s">
        <v>103</v>
      </c>
    </row>
    <row r="37" spans="1:2">
      <c r="A37" s="23">
        <v>104208</v>
      </c>
      <c r="B37" s="1" t="s">
        <v>104</v>
      </c>
    </row>
    <row r="38" spans="1:2">
      <c r="A38" s="23">
        <v>104209</v>
      </c>
      <c r="B38" s="1" t="s">
        <v>105</v>
      </c>
    </row>
    <row r="39" spans="1:2">
      <c r="A39" s="23">
        <v>104210</v>
      </c>
      <c r="B39" s="1" t="s">
        <v>106</v>
      </c>
    </row>
    <row r="40" spans="1:2">
      <c r="A40" s="23">
        <v>104215</v>
      </c>
      <c r="B40" s="1" t="s">
        <v>107</v>
      </c>
    </row>
    <row r="41" spans="1:2">
      <c r="A41" s="23">
        <v>104216</v>
      </c>
      <c r="B41" s="1" t="s">
        <v>108</v>
      </c>
    </row>
    <row r="42" spans="1:2">
      <c r="A42" s="23">
        <v>104217</v>
      </c>
      <c r="B42" s="1" t="s">
        <v>109</v>
      </c>
    </row>
    <row r="43" spans="1:2">
      <c r="A43" s="23">
        <v>104218</v>
      </c>
      <c r="B43" s="1" t="s">
        <v>110</v>
      </c>
    </row>
    <row r="44" spans="1:2">
      <c r="A44" s="23">
        <v>104219</v>
      </c>
      <c r="B44" s="1" t="s">
        <v>111</v>
      </c>
    </row>
    <row r="45" spans="1:2">
      <c r="A45" s="23">
        <v>104221</v>
      </c>
      <c r="B45" s="1" t="s">
        <v>112</v>
      </c>
    </row>
    <row r="46" spans="1:2">
      <c r="A46" s="23">
        <v>104222</v>
      </c>
      <c r="B46" s="1" t="s">
        <v>113</v>
      </c>
    </row>
    <row r="47" spans="1:2">
      <c r="A47" s="23">
        <v>104223</v>
      </c>
      <c r="B47" s="1" t="s">
        <v>114</v>
      </c>
    </row>
    <row r="48" spans="1:2">
      <c r="A48" s="23">
        <v>104224</v>
      </c>
      <c r="B48" s="1" t="s">
        <v>115</v>
      </c>
    </row>
    <row r="49" spans="1:2">
      <c r="A49" s="23">
        <v>104225</v>
      </c>
      <c r="B49" s="1" t="s">
        <v>116</v>
      </c>
    </row>
    <row r="50" spans="1:2">
      <c r="A50" s="23">
        <v>104226</v>
      </c>
      <c r="B50" s="1" t="s">
        <v>117</v>
      </c>
    </row>
    <row r="51" spans="1:2">
      <c r="A51" s="23">
        <v>104227</v>
      </c>
      <c r="B51" s="1" t="s">
        <v>118</v>
      </c>
    </row>
    <row r="52" spans="1:2">
      <c r="A52" s="23">
        <v>104228</v>
      </c>
      <c r="B52" s="1" t="s">
        <v>119</v>
      </c>
    </row>
    <row r="53" spans="1:2">
      <c r="A53" s="23">
        <v>104229</v>
      </c>
      <c r="B53" s="1" t="s">
        <v>120</v>
      </c>
    </row>
    <row r="54" spans="1:2">
      <c r="A54" s="23">
        <v>104230</v>
      </c>
      <c r="B54" s="1" t="s">
        <v>121</v>
      </c>
    </row>
    <row r="55" spans="1:2">
      <c r="A55" s="23">
        <v>104231</v>
      </c>
      <c r="B55" s="1" t="s">
        <v>122</v>
      </c>
    </row>
    <row r="56" spans="1:2">
      <c r="A56" s="23">
        <v>104232</v>
      </c>
      <c r="B56" s="1" t="s">
        <v>123</v>
      </c>
    </row>
    <row r="57" spans="1:2">
      <c r="A57" s="23">
        <v>104233</v>
      </c>
      <c r="B57" s="1" t="s">
        <v>124</v>
      </c>
    </row>
    <row r="58" spans="1:2">
      <c r="A58" s="23">
        <v>104234</v>
      </c>
      <c r="B58" s="1" t="s">
        <v>125</v>
      </c>
    </row>
    <row r="59" spans="1:2">
      <c r="A59" s="23">
        <v>104235</v>
      </c>
      <c r="B59" s="1" t="s">
        <v>126</v>
      </c>
    </row>
    <row r="60" spans="1:2">
      <c r="A60" s="23">
        <v>104236</v>
      </c>
      <c r="B60" s="1" t="s">
        <v>127</v>
      </c>
    </row>
    <row r="61" spans="1:2">
      <c r="A61" s="23">
        <v>104237</v>
      </c>
      <c r="B61" s="1" t="s">
        <v>128</v>
      </c>
    </row>
    <row r="62" spans="1:2">
      <c r="A62" s="23">
        <v>104238</v>
      </c>
      <c r="B62" s="1" t="s">
        <v>129</v>
      </c>
    </row>
    <row r="63" spans="1:2">
      <c r="A63" s="23">
        <v>104239</v>
      </c>
      <c r="B63" s="1" t="s">
        <v>130</v>
      </c>
    </row>
    <row r="64" spans="1:2">
      <c r="A64" s="23">
        <v>104240</v>
      </c>
      <c r="B64" s="1" t="s">
        <v>131</v>
      </c>
    </row>
    <row r="65" spans="1:2">
      <c r="A65" s="23">
        <v>104241</v>
      </c>
      <c r="B65" s="1" t="s">
        <v>132</v>
      </c>
    </row>
    <row r="66" spans="1:2">
      <c r="A66" s="23">
        <v>104242</v>
      </c>
      <c r="B66" s="1" t="s">
        <v>133</v>
      </c>
    </row>
    <row r="67" spans="1:2">
      <c r="A67" s="23">
        <v>104243</v>
      </c>
      <c r="B67" s="1" t="s">
        <v>134</v>
      </c>
    </row>
    <row r="68" spans="1:2">
      <c r="A68" s="23">
        <v>104244</v>
      </c>
      <c r="B68" s="1" t="s">
        <v>135</v>
      </c>
    </row>
    <row r="69" spans="1:2">
      <c r="A69" s="23">
        <v>104245</v>
      </c>
      <c r="B69" s="1" t="s">
        <v>136</v>
      </c>
    </row>
    <row r="70" spans="1:2">
      <c r="A70" s="23">
        <v>104246</v>
      </c>
      <c r="B70" s="1" t="s">
        <v>137</v>
      </c>
    </row>
    <row r="71" spans="1:2">
      <c r="A71" s="23">
        <v>104247</v>
      </c>
      <c r="B71" s="1" t="s">
        <v>138</v>
      </c>
    </row>
    <row r="72" spans="1:2">
      <c r="A72" s="23">
        <v>104248</v>
      </c>
      <c r="B72" s="1" t="s">
        <v>139</v>
      </c>
    </row>
    <row r="73" spans="1:2">
      <c r="A73" s="23">
        <v>104249</v>
      </c>
      <c r="B73" s="1" t="s">
        <v>140</v>
      </c>
    </row>
    <row r="74" spans="1:2">
      <c r="A74" s="23">
        <v>104250</v>
      </c>
      <c r="B74" s="1" t="s">
        <v>141</v>
      </c>
    </row>
    <row r="75" spans="1:2">
      <c r="A75" s="23">
        <v>104251</v>
      </c>
      <c r="B75" s="1" t="s">
        <v>142</v>
      </c>
    </row>
    <row r="76" spans="1:2">
      <c r="A76" s="23">
        <v>104252</v>
      </c>
      <c r="B76" s="1" t="s">
        <v>143</v>
      </c>
    </row>
    <row r="77" spans="1:2">
      <c r="A77" s="23">
        <v>104253</v>
      </c>
      <c r="B77" s="1" t="s">
        <v>144</v>
      </c>
    </row>
    <row r="78" spans="1:2">
      <c r="A78" s="23">
        <v>104254</v>
      </c>
      <c r="B78" s="1" t="s">
        <v>145</v>
      </c>
    </row>
    <row r="79" spans="1:2">
      <c r="A79" s="23">
        <v>104255</v>
      </c>
      <c r="B79" s="1" t="s">
        <v>146</v>
      </c>
    </row>
    <row r="80" spans="1:2">
      <c r="A80" s="23">
        <v>104256</v>
      </c>
      <c r="B80" s="1" t="s">
        <v>147</v>
      </c>
    </row>
    <row r="81" spans="1:2">
      <c r="A81" s="23">
        <v>104257</v>
      </c>
      <c r="B81" s="1" t="s">
        <v>148</v>
      </c>
    </row>
    <row r="82" spans="1:2">
      <c r="A82" s="23">
        <v>104258</v>
      </c>
      <c r="B82" s="1" t="s">
        <v>149</v>
      </c>
    </row>
    <row r="83" spans="1:2">
      <c r="A83" s="23">
        <v>104259</v>
      </c>
      <c r="B83" s="1" t="s">
        <v>150</v>
      </c>
    </row>
    <row r="84" spans="1:2">
      <c r="A84" s="23">
        <v>104260</v>
      </c>
      <c r="B84" s="1" t="s">
        <v>151</v>
      </c>
    </row>
    <row r="85" spans="1:2">
      <c r="A85" s="23">
        <v>104261</v>
      </c>
      <c r="B85" s="1" t="s">
        <v>152</v>
      </c>
    </row>
    <row r="86" spans="1:2">
      <c r="A86" s="23">
        <v>104262</v>
      </c>
      <c r="B86" s="1" t="s">
        <v>153</v>
      </c>
    </row>
    <row r="87" spans="1:2">
      <c r="A87" s="23">
        <v>104263</v>
      </c>
      <c r="B87" s="1" t="s">
        <v>154</v>
      </c>
    </row>
    <row r="88" spans="1:2">
      <c r="A88" s="23">
        <v>104264</v>
      </c>
      <c r="B88" s="1" t="s">
        <v>155</v>
      </c>
    </row>
    <row r="89" spans="1:2">
      <c r="A89" s="23">
        <v>104265</v>
      </c>
      <c r="B89" s="1" t="s">
        <v>156</v>
      </c>
    </row>
    <row r="90" spans="1:2">
      <c r="A90" s="23">
        <v>104266</v>
      </c>
      <c r="B90" s="1" t="s">
        <v>157</v>
      </c>
    </row>
    <row r="91" spans="1:2">
      <c r="A91" s="23">
        <v>104267</v>
      </c>
      <c r="B91" s="1" t="s">
        <v>158</v>
      </c>
    </row>
    <row r="92" spans="1:2">
      <c r="A92" s="23">
        <v>104268</v>
      </c>
      <c r="B92" s="1" t="s">
        <v>159</v>
      </c>
    </row>
    <row r="93" spans="1:2">
      <c r="A93" s="23">
        <v>104269</v>
      </c>
      <c r="B93" s="1" t="s">
        <v>160</v>
      </c>
    </row>
    <row r="94" spans="1:2">
      <c r="A94" s="23">
        <v>104270</v>
      </c>
      <c r="B94" s="1" t="s">
        <v>161</v>
      </c>
    </row>
    <row r="95" spans="1:2">
      <c r="A95" s="23">
        <v>104271</v>
      </c>
      <c r="B95" s="1" t="s">
        <v>162</v>
      </c>
    </row>
    <row r="96" spans="1:2">
      <c r="A96" s="23">
        <v>104272</v>
      </c>
      <c r="B96" s="1" t="s">
        <v>163</v>
      </c>
    </row>
    <row r="97" spans="1:2">
      <c r="A97" s="23">
        <v>104273</v>
      </c>
      <c r="B97" s="1" t="s">
        <v>164</v>
      </c>
    </row>
    <row r="98" spans="1:2">
      <c r="A98" s="23">
        <v>104274</v>
      </c>
      <c r="B98" s="1" t="s">
        <v>165</v>
      </c>
    </row>
    <row r="99" spans="1:2">
      <c r="A99" s="23">
        <v>104275</v>
      </c>
      <c r="B99" s="1" t="s">
        <v>166</v>
      </c>
    </row>
    <row r="100" spans="1:2">
      <c r="A100" s="23">
        <v>104276</v>
      </c>
      <c r="B100" s="1" t="s">
        <v>167</v>
      </c>
    </row>
    <row r="101" spans="1:2">
      <c r="A101" s="23">
        <v>104277</v>
      </c>
      <c r="B101" s="1" t="s">
        <v>168</v>
      </c>
    </row>
    <row r="102" spans="1:2">
      <c r="A102" s="23">
        <v>104278</v>
      </c>
      <c r="B102" s="1" t="s">
        <v>169</v>
      </c>
    </row>
    <row r="103" spans="1:2">
      <c r="A103" s="23">
        <v>104279</v>
      </c>
      <c r="B103" s="1" t="s">
        <v>170</v>
      </c>
    </row>
    <row r="104" spans="1:2">
      <c r="A104" s="23">
        <v>104280</v>
      </c>
      <c r="B104" s="1" t="s">
        <v>171</v>
      </c>
    </row>
    <row r="105" spans="1:2">
      <c r="A105" s="23">
        <v>104281</v>
      </c>
      <c r="B105" s="1" t="s">
        <v>172</v>
      </c>
    </row>
    <row r="106" spans="1:2">
      <c r="A106" s="23">
        <v>104282</v>
      </c>
      <c r="B106" s="1" t="s">
        <v>173</v>
      </c>
    </row>
    <row r="107" spans="1:2">
      <c r="A107" s="23">
        <v>104283</v>
      </c>
      <c r="B107" s="1" t="s">
        <v>174</v>
      </c>
    </row>
    <row r="108" spans="1:2">
      <c r="A108" s="23">
        <v>104284</v>
      </c>
      <c r="B108" s="1" t="s">
        <v>175</v>
      </c>
    </row>
    <row r="109" spans="1:2">
      <c r="A109" s="23">
        <v>104285</v>
      </c>
      <c r="B109" s="1" t="s">
        <v>176</v>
      </c>
    </row>
    <row r="110" spans="1:2">
      <c r="A110" s="23">
        <v>104286</v>
      </c>
      <c r="B110" s="1" t="s">
        <v>177</v>
      </c>
    </row>
    <row r="111" spans="1:2">
      <c r="A111" s="23">
        <v>104287</v>
      </c>
      <c r="B111" s="1" t="s">
        <v>178</v>
      </c>
    </row>
    <row r="112" spans="1:2">
      <c r="A112" s="23">
        <v>104288</v>
      </c>
      <c r="B112" s="1" t="s">
        <v>179</v>
      </c>
    </row>
    <row r="113" spans="1:2">
      <c r="A113" s="23">
        <v>104289</v>
      </c>
      <c r="B113" s="1" t="s">
        <v>180</v>
      </c>
    </row>
    <row r="114" spans="1:2">
      <c r="A114" s="23">
        <v>104290</v>
      </c>
      <c r="B114" s="1" t="s">
        <v>181</v>
      </c>
    </row>
    <row r="115" spans="1:2">
      <c r="A115" s="23">
        <v>104291</v>
      </c>
      <c r="B115" s="1" t="s">
        <v>182</v>
      </c>
    </row>
    <row r="116" spans="1:2">
      <c r="A116" s="23">
        <v>104292</v>
      </c>
      <c r="B116" s="1" t="s">
        <v>183</v>
      </c>
    </row>
    <row r="117" spans="1:2">
      <c r="A117" s="23">
        <v>104293</v>
      </c>
      <c r="B117" s="1" t="s">
        <v>184</v>
      </c>
    </row>
    <row r="118" spans="1:2">
      <c r="A118" s="23">
        <v>104294</v>
      </c>
      <c r="B118" s="1" t="s">
        <v>185</v>
      </c>
    </row>
    <row r="119" spans="1:2">
      <c r="A119" s="23">
        <v>104295</v>
      </c>
      <c r="B119" s="1" t="s">
        <v>186</v>
      </c>
    </row>
    <row r="120" spans="1:2">
      <c r="A120" s="23">
        <v>104296</v>
      </c>
      <c r="B120" s="1" t="s">
        <v>187</v>
      </c>
    </row>
    <row r="121" spans="1:2">
      <c r="A121" s="23">
        <v>104297</v>
      </c>
      <c r="B121" s="1" t="s">
        <v>188</v>
      </c>
    </row>
    <row r="122" spans="1:2">
      <c r="A122" s="23">
        <v>104298</v>
      </c>
      <c r="B122" s="1" t="s">
        <v>189</v>
      </c>
    </row>
    <row r="123" spans="1:2">
      <c r="A123" s="23">
        <v>104299</v>
      </c>
      <c r="B123" s="1" t="s">
        <v>190</v>
      </c>
    </row>
    <row r="124" spans="1:2">
      <c r="A124" s="23">
        <v>104300</v>
      </c>
      <c r="B124" s="1" t="s">
        <v>191</v>
      </c>
    </row>
    <row r="125" spans="1:2">
      <c r="A125" s="23">
        <v>104301</v>
      </c>
      <c r="B125" s="1" t="s">
        <v>192</v>
      </c>
    </row>
    <row r="126" spans="1:2">
      <c r="A126" s="23">
        <v>104302</v>
      </c>
      <c r="B126" s="1" t="s">
        <v>193</v>
      </c>
    </row>
    <row r="127" spans="1:2">
      <c r="A127" s="23">
        <v>104303</v>
      </c>
      <c r="B127" s="1" t="s">
        <v>194</v>
      </c>
    </row>
    <row r="128" spans="1:2">
      <c r="A128" s="23">
        <v>104304</v>
      </c>
      <c r="B128" s="1" t="s">
        <v>195</v>
      </c>
    </row>
    <row r="129" spans="1:2">
      <c r="A129" s="23">
        <v>104305</v>
      </c>
      <c r="B129" s="1" t="s">
        <v>196</v>
      </c>
    </row>
    <row r="130" spans="1:2">
      <c r="A130" s="23">
        <v>104306</v>
      </c>
      <c r="B130" s="1" t="s">
        <v>197</v>
      </c>
    </row>
    <row r="131" spans="1:2">
      <c r="A131" s="23">
        <v>104307</v>
      </c>
      <c r="B131" s="1" t="s">
        <v>198</v>
      </c>
    </row>
    <row r="132" spans="1:2">
      <c r="A132" s="23">
        <v>104308</v>
      </c>
      <c r="B132" s="1" t="s">
        <v>199</v>
      </c>
    </row>
    <row r="133" spans="1:2">
      <c r="A133" s="23">
        <v>104309</v>
      </c>
      <c r="B133" s="1" t="s">
        <v>200</v>
      </c>
    </row>
    <row r="134" spans="1:2">
      <c r="A134" s="23">
        <v>104310</v>
      </c>
      <c r="B134" s="1" t="s">
        <v>201</v>
      </c>
    </row>
    <row r="135" spans="1:2">
      <c r="A135" s="23">
        <v>104311</v>
      </c>
      <c r="B135" s="1" t="s">
        <v>202</v>
      </c>
    </row>
    <row r="136" spans="1:2">
      <c r="A136" s="23">
        <v>104312</v>
      </c>
      <c r="B136" s="1" t="s">
        <v>203</v>
      </c>
    </row>
    <row r="137" spans="1:2">
      <c r="A137" s="23">
        <v>104313</v>
      </c>
      <c r="B137" s="1" t="s">
        <v>204</v>
      </c>
    </row>
    <row r="138" spans="1:2">
      <c r="A138" s="23">
        <v>104314</v>
      </c>
      <c r="B138" s="1" t="s">
        <v>205</v>
      </c>
    </row>
    <row r="139" spans="1:2">
      <c r="A139" s="23">
        <v>104315</v>
      </c>
      <c r="B139" s="1" t="s">
        <v>206</v>
      </c>
    </row>
    <row r="140" spans="1:2">
      <c r="A140" s="23">
        <v>104316</v>
      </c>
      <c r="B140" s="1" t="s">
        <v>207</v>
      </c>
    </row>
    <row r="141" spans="1:2">
      <c r="A141" s="23">
        <v>104317</v>
      </c>
      <c r="B141" s="1" t="s">
        <v>208</v>
      </c>
    </row>
    <row r="142" spans="1:2">
      <c r="A142" s="23">
        <v>104318</v>
      </c>
      <c r="B142" s="1" t="s">
        <v>209</v>
      </c>
    </row>
    <row r="143" spans="1:2">
      <c r="A143" s="23">
        <v>104319</v>
      </c>
      <c r="B143" s="1" t="s">
        <v>210</v>
      </c>
    </row>
    <row r="144" spans="1:2">
      <c r="A144" s="23">
        <v>104320</v>
      </c>
      <c r="B144" s="1" t="s">
        <v>211</v>
      </c>
    </row>
    <row r="145" spans="1:2">
      <c r="A145" s="23">
        <v>104321</v>
      </c>
      <c r="B145" s="1" t="s">
        <v>212</v>
      </c>
    </row>
    <row r="146" spans="1:2">
      <c r="A146" s="23">
        <v>104322</v>
      </c>
      <c r="B146" s="1" t="s">
        <v>213</v>
      </c>
    </row>
    <row r="147" spans="1:2">
      <c r="A147" s="23">
        <v>104323</v>
      </c>
      <c r="B147" s="1" t="s">
        <v>214</v>
      </c>
    </row>
    <row r="148" spans="1:2">
      <c r="A148" s="23">
        <v>104324</v>
      </c>
      <c r="B148" s="1" t="s">
        <v>215</v>
      </c>
    </row>
    <row r="149" spans="1:2">
      <c r="A149" s="23">
        <v>104325</v>
      </c>
      <c r="B149" s="1" t="s">
        <v>216</v>
      </c>
    </row>
    <row r="150" spans="1:2">
      <c r="A150" s="23">
        <v>104326</v>
      </c>
      <c r="B150" s="1" t="s">
        <v>217</v>
      </c>
    </row>
    <row r="151" spans="1:2">
      <c r="A151" s="23">
        <v>104327</v>
      </c>
      <c r="B151" s="1" t="s">
        <v>218</v>
      </c>
    </row>
    <row r="152" spans="1:2">
      <c r="A152" s="23">
        <v>104328</v>
      </c>
      <c r="B152" s="1" t="s">
        <v>219</v>
      </c>
    </row>
    <row r="153" spans="1:2">
      <c r="A153" s="23">
        <v>104329</v>
      </c>
      <c r="B153" s="1" t="s">
        <v>220</v>
      </c>
    </row>
    <row r="154" spans="1:2">
      <c r="A154" s="23">
        <v>104330</v>
      </c>
      <c r="B154" s="1" t="s">
        <v>221</v>
      </c>
    </row>
    <row r="155" spans="1:2">
      <c r="A155" s="23">
        <v>104331</v>
      </c>
      <c r="B155" s="1" t="s">
        <v>222</v>
      </c>
    </row>
    <row r="156" spans="1:2">
      <c r="A156" s="23">
        <v>104332</v>
      </c>
      <c r="B156" s="1" t="s">
        <v>223</v>
      </c>
    </row>
    <row r="157" spans="1:2">
      <c r="A157" s="23">
        <v>104333</v>
      </c>
      <c r="B157" s="1" t="s">
        <v>224</v>
      </c>
    </row>
    <row r="158" spans="1:2">
      <c r="A158" s="23">
        <v>104334</v>
      </c>
      <c r="B158" s="1" t="s">
        <v>225</v>
      </c>
    </row>
    <row r="159" spans="1:2">
      <c r="A159" s="23">
        <v>104335</v>
      </c>
      <c r="B159" s="1" t="s">
        <v>226</v>
      </c>
    </row>
    <row r="160" spans="1:2">
      <c r="A160" s="23">
        <v>104336</v>
      </c>
      <c r="B160" s="1" t="s">
        <v>227</v>
      </c>
    </row>
    <row r="161" spans="1:2">
      <c r="A161" s="23">
        <v>104337</v>
      </c>
      <c r="B161" s="1" t="s">
        <v>228</v>
      </c>
    </row>
    <row r="162" spans="1:2">
      <c r="A162" s="23">
        <v>104338</v>
      </c>
      <c r="B162" s="1" t="s">
        <v>229</v>
      </c>
    </row>
    <row r="163" spans="1:2">
      <c r="A163" s="23">
        <v>104339</v>
      </c>
      <c r="B163" s="1" t="s">
        <v>230</v>
      </c>
    </row>
    <row r="164" spans="1:2">
      <c r="A164" s="23">
        <v>104340</v>
      </c>
      <c r="B164" s="1" t="s">
        <v>231</v>
      </c>
    </row>
    <row r="165" spans="1:2">
      <c r="A165" s="23">
        <v>104341</v>
      </c>
      <c r="B165" s="1" t="s">
        <v>232</v>
      </c>
    </row>
    <row r="166" spans="1:2">
      <c r="A166" s="23">
        <v>104342</v>
      </c>
      <c r="B166" s="1" t="s">
        <v>233</v>
      </c>
    </row>
    <row r="167" spans="1:2">
      <c r="A167" s="23">
        <v>104343</v>
      </c>
      <c r="B167" s="1" t="s">
        <v>234</v>
      </c>
    </row>
    <row r="168" spans="1:2">
      <c r="A168" s="23">
        <v>104344</v>
      </c>
      <c r="B168" s="1" t="s">
        <v>235</v>
      </c>
    </row>
    <row r="169" spans="1:2">
      <c r="A169" s="23">
        <v>104345</v>
      </c>
      <c r="B169" s="1" t="s">
        <v>236</v>
      </c>
    </row>
    <row r="170" spans="1:2">
      <c r="A170" s="23">
        <v>104346</v>
      </c>
      <c r="B170" s="1" t="s">
        <v>237</v>
      </c>
    </row>
    <row r="171" spans="1:2">
      <c r="A171" s="23">
        <v>104347</v>
      </c>
      <c r="B171" s="1" t="s">
        <v>238</v>
      </c>
    </row>
    <row r="172" spans="1:2">
      <c r="A172" s="23">
        <v>104348</v>
      </c>
      <c r="B172" s="1" t="s">
        <v>239</v>
      </c>
    </row>
    <row r="173" spans="1:2">
      <c r="A173" s="23">
        <v>104349</v>
      </c>
      <c r="B173" s="1" t="s">
        <v>240</v>
      </c>
    </row>
    <row r="174" spans="1:2">
      <c r="A174" s="23">
        <v>104350</v>
      </c>
      <c r="B174" s="1" t="s">
        <v>241</v>
      </c>
    </row>
    <row r="175" spans="1:2">
      <c r="A175" s="23">
        <v>104351</v>
      </c>
      <c r="B175" s="1" t="s">
        <v>242</v>
      </c>
    </row>
    <row r="176" spans="1:2">
      <c r="A176" s="23">
        <v>104352</v>
      </c>
      <c r="B176" s="1" t="s">
        <v>243</v>
      </c>
    </row>
    <row r="177" spans="1:2">
      <c r="A177" s="23">
        <v>104353</v>
      </c>
      <c r="B177" s="1" t="s">
        <v>244</v>
      </c>
    </row>
    <row r="178" spans="1:2">
      <c r="A178" s="23">
        <v>104354</v>
      </c>
      <c r="B178" s="1" t="s">
        <v>245</v>
      </c>
    </row>
    <row r="179" spans="1:2">
      <c r="A179" s="23">
        <v>104355</v>
      </c>
      <c r="B179" s="1" t="s">
        <v>246</v>
      </c>
    </row>
    <row r="180" spans="1:2">
      <c r="A180" s="23">
        <v>104356</v>
      </c>
      <c r="B180" s="1" t="s">
        <v>247</v>
      </c>
    </row>
    <row r="181" spans="1:2">
      <c r="A181" s="23">
        <v>104357</v>
      </c>
      <c r="B181" s="1" t="s">
        <v>248</v>
      </c>
    </row>
    <row r="182" spans="1:2">
      <c r="A182" s="23">
        <v>104358</v>
      </c>
      <c r="B182" s="1" t="s">
        <v>249</v>
      </c>
    </row>
    <row r="183" spans="1:2">
      <c r="A183" s="23">
        <v>104359</v>
      </c>
      <c r="B183" s="1" t="s">
        <v>250</v>
      </c>
    </row>
    <row r="184" spans="1:2">
      <c r="A184" s="23">
        <v>104360</v>
      </c>
      <c r="B184" s="1" t="s">
        <v>251</v>
      </c>
    </row>
    <row r="185" spans="1:2">
      <c r="A185" s="23">
        <v>104361</v>
      </c>
      <c r="B185" s="1" t="s">
        <v>252</v>
      </c>
    </row>
    <row r="186" spans="1:2">
      <c r="A186" s="23">
        <v>104727</v>
      </c>
      <c r="B186" s="1" t="s">
        <v>253</v>
      </c>
    </row>
    <row r="187" spans="1:2">
      <c r="A187" s="23">
        <v>104728</v>
      </c>
      <c r="B187" s="1" t="s">
        <v>254</v>
      </c>
    </row>
    <row r="188" spans="1:2">
      <c r="A188" s="23">
        <v>104729</v>
      </c>
      <c r="B188" s="1" t="s">
        <v>255</v>
      </c>
    </row>
    <row r="189" spans="1:2">
      <c r="A189" s="23">
        <v>104730</v>
      </c>
      <c r="B189" s="1" t="s">
        <v>256</v>
      </c>
    </row>
    <row r="190" spans="1:2">
      <c r="A190" s="23">
        <v>104731</v>
      </c>
      <c r="B190" s="1" t="s">
        <v>257</v>
      </c>
    </row>
    <row r="191" spans="1:2">
      <c r="A191" s="23">
        <v>104732</v>
      </c>
      <c r="B191" s="1" t="s">
        <v>258</v>
      </c>
    </row>
    <row r="192" spans="1:2">
      <c r="A192" s="23">
        <v>104733</v>
      </c>
      <c r="B192" s="1" t="s">
        <v>259</v>
      </c>
    </row>
    <row r="193" spans="1:2">
      <c r="A193" s="23">
        <v>104734</v>
      </c>
      <c r="B193" s="1" t="s">
        <v>260</v>
      </c>
    </row>
    <row r="194" spans="1:2">
      <c r="A194" s="23">
        <v>104735</v>
      </c>
      <c r="B194" s="1" t="s">
        <v>261</v>
      </c>
    </row>
    <row r="195" spans="1:2">
      <c r="A195" s="23">
        <v>104736</v>
      </c>
      <c r="B195" s="1" t="s">
        <v>262</v>
      </c>
    </row>
    <row r="196" spans="1:2">
      <c r="A196" s="23">
        <v>104737</v>
      </c>
      <c r="B196" s="1" t="s">
        <v>263</v>
      </c>
    </row>
    <row r="197" spans="1:2">
      <c r="A197" s="23">
        <v>104738</v>
      </c>
      <c r="B197" s="1" t="s">
        <v>264</v>
      </c>
    </row>
    <row r="198" spans="1:2">
      <c r="A198" s="23">
        <v>104739</v>
      </c>
      <c r="B198" s="1" t="s">
        <v>265</v>
      </c>
    </row>
    <row r="199" spans="1:2">
      <c r="A199" s="23">
        <v>104740</v>
      </c>
      <c r="B199" s="1" t="s">
        <v>266</v>
      </c>
    </row>
    <row r="200" spans="1:2">
      <c r="A200" s="23">
        <v>104741</v>
      </c>
      <c r="B200" s="1" t="s">
        <v>267</v>
      </c>
    </row>
    <row r="201" spans="1:2">
      <c r="A201" s="23">
        <v>104742</v>
      </c>
      <c r="B201" s="1" t="s">
        <v>268</v>
      </c>
    </row>
    <row r="202" spans="1:2">
      <c r="A202" s="23">
        <v>104743</v>
      </c>
      <c r="B202" s="1" t="s">
        <v>269</v>
      </c>
    </row>
    <row r="203" spans="1:2">
      <c r="A203" s="23">
        <v>104744</v>
      </c>
      <c r="B203" s="1" t="s">
        <v>270</v>
      </c>
    </row>
    <row r="204" spans="1:2">
      <c r="A204" s="23">
        <v>104745</v>
      </c>
      <c r="B204" s="1" t="s">
        <v>271</v>
      </c>
    </row>
    <row r="205" spans="1:2">
      <c r="A205" s="23">
        <v>104746</v>
      </c>
      <c r="B205" s="1" t="s">
        <v>272</v>
      </c>
    </row>
    <row r="206" spans="1:2">
      <c r="A206" s="23">
        <v>104747</v>
      </c>
      <c r="B206" s="1" t="s">
        <v>273</v>
      </c>
    </row>
    <row r="207" spans="1:2">
      <c r="A207" s="23">
        <v>104748</v>
      </c>
      <c r="B207" s="1" t="s">
        <v>274</v>
      </c>
    </row>
    <row r="208" spans="1:2">
      <c r="A208" s="23">
        <v>104749</v>
      </c>
      <c r="B208" s="1" t="s">
        <v>275</v>
      </c>
    </row>
    <row r="209" spans="1:2">
      <c r="A209" s="23">
        <v>104750</v>
      </c>
      <c r="B209" s="1" t="s">
        <v>276</v>
      </c>
    </row>
    <row r="210" spans="1:2">
      <c r="A210" s="23">
        <v>104751</v>
      </c>
      <c r="B210" s="1" t="s">
        <v>277</v>
      </c>
    </row>
    <row r="211" spans="1:2">
      <c r="A211" s="23">
        <v>104752</v>
      </c>
      <c r="B211" s="1" t="s">
        <v>278</v>
      </c>
    </row>
    <row r="212" spans="1:2">
      <c r="A212" s="23">
        <v>104753</v>
      </c>
      <c r="B212" s="1" t="s">
        <v>279</v>
      </c>
    </row>
    <row r="213" spans="1:2">
      <c r="A213" s="23">
        <v>104754</v>
      </c>
      <c r="B213" s="1" t="s">
        <v>280</v>
      </c>
    </row>
    <row r="214" spans="1:2">
      <c r="A214" s="23">
        <v>104755</v>
      </c>
      <c r="B214" s="1" t="s">
        <v>281</v>
      </c>
    </row>
    <row r="215" spans="1:2">
      <c r="A215" s="23">
        <v>104756</v>
      </c>
      <c r="B215" s="1" t="s">
        <v>282</v>
      </c>
    </row>
    <row r="216" spans="1:2">
      <c r="A216" s="23">
        <v>104757</v>
      </c>
      <c r="B216" s="1" t="s">
        <v>283</v>
      </c>
    </row>
    <row r="217" spans="1:2">
      <c r="A217" s="23">
        <v>104758</v>
      </c>
      <c r="B217" s="1" t="s">
        <v>284</v>
      </c>
    </row>
    <row r="218" spans="1:2">
      <c r="A218" s="23">
        <v>104759</v>
      </c>
      <c r="B218" s="1" t="s">
        <v>285</v>
      </c>
    </row>
    <row r="219" spans="1:2">
      <c r="A219" s="23">
        <v>104760</v>
      </c>
      <c r="B219" s="1" t="s">
        <v>286</v>
      </c>
    </row>
    <row r="220" spans="1:2">
      <c r="A220" s="23">
        <v>104761</v>
      </c>
      <c r="B220" s="1" t="s">
        <v>287</v>
      </c>
    </row>
    <row r="221" spans="1:2">
      <c r="A221" s="23">
        <v>104762</v>
      </c>
      <c r="B221" s="1" t="s">
        <v>288</v>
      </c>
    </row>
    <row r="222" spans="1:2">
      <c r="A222" s="23">
        <v>104763</v>
      </c>
      <c r="B222" s="1" t="s">
        <v>289</v>
      </c>
    </row>
    <row r="223" spans="1:2">
      <c r="A223" s="23">
        <v>104764</v>
      </c>
      <c r="B223" s="1" t="s">
        <v>290</v>
      </c>
    </row>
    <row r="224" spans="1:2">
      <c r="A224" s="23">
        <v>104765</v>
      </c>
      <c r="B224" s="1" t="s">
        <v>291</v>
      </c>
    </row>
    <row r="225" spans="1:2">
      <c r="A225" s="23">
        <v>104766</v>
      </c>
      <c r="B225" s="1" t="s">
        <v>292</v>
      </c>
    </row>
    <row r="226" spans="1:2">
      <c r="A226" s="23">
        <v>104767</v>
      </c>
      <c r="B226" s="1" t="s">
        <v>293</v>
      </c>
    </row>
    <row r="227" spans="1:2">
      <c r="A227" s="23">
        <v>104768</v>
      </c>
      <c r="B227" s="1" t="s">
        <v>294</v>
      </c>
    </row>
    <row r="228" spans="1:2">
      <c r="A228" s="23">
        <v>104769</v>
      </c>
      <c r="B228" s="1" t="s">
        <v>295</v>
      </c>
    </row>
    <row r="229" spans="1:2">
      <c r="A229" s="23">
        <v>104770</v>
      </c>
      <c r="B229" s="1" t="s">
        <v>296</v>
      </c>
    </row>
    <row r="230" spans="1:2">
      <c r="A230" s="23">
        <v>104771</v>
      </c>
      <c r="B230" s="1" t="s">
        <v>297</v>
      </c>
    </row>
    <row r="231" spans="1:2">
      <c r="A231" s="23">
        <v>104772</v>
      </c>
      <c r="B231" s="1" t="s">
        <v>298</v>
      </c>
    </row>
    <row r="232" spans="1:2">
      <c r="A232" s="23">
        <v>104773</v>
      </c>
      <c r="B232" s="1" t="s">
        <v>299</v>
      </c>
    </row>
    <row r="233" spans="1:2">
      <c r="A233" s="23">
        <v>104774</v>
      </c>
      <c r="B233" s="1" t="s">
        <v>300</v>
      </c>
    </row>
    <row r="234" spans="1:2">
      <c r="A234" s="23">
        <v>104775</v>
      </c>
      <c r="B234" s="1" t="s">
        <v>301</v>
      </c>
    </row>
    <row r="235" spans="1:2">
      <c r="A235" s="23">
        <v>104776</v>
      </c>
      <c r="B235" s="1" t="s">
        <v>302</v>
      </c>
    </row>
    <row r="236" spans="1:2">
      <c r="A236" s="23">
        <v>104777</v>
      </c>
      <c r="B236" s="1" t="s">
        <v>303</v>
      </c>
    </row>
    <row r="237" spans="1:2">
      <c r="A237" s="23">
        <v>104778</v>
      </c>
      <c r="B237" s="1" t="s">
        <v>304</v>
      </c>
    </row>
    <row r="238" spans="1:2">
      <c r="A238" s="23">
        <v>104779</v>
      </c>
      <c r="B238" s="1" t="s">
        <v>305</v>
      </c>
    </row>
    <row r="239" spans="1:2">
      <c r="A239" s="23">
        <v>104780</v>
      </c>
      <c r="B239" s="1" t="s">
        <v>306</v>
      </c>
    </row>
    <row r="240" spans="1:2">
      <c r="A240" s="23">
        <v>104781</v>
      </c>
      <c r="B240" s="1" t="s">
        <v>307</v>
      </c>
    </row>
    <row r="241" spans="1:2">
      <c r="A241" s="23">
        <v>104782</v>
      </c>
      <c r="B241" s="1" t="s">
        <v>308</v>
      </c>
    </row>
    <row r="242" spans="1:2">
      <c r="A242" s="23">
        <v>104783</v>
      </c>
      <c r="B242" s="1" t="s">
        <v>309</v>
      </c>
    </row>
    <row r="243" spans="1:2">
      <c r="A243" s="23">
        <v>104784</v>
      </c>
      <c r="B243" s="1" t="s">
        <v>310</v>
      </c>
    </row>
    <row r="244" spans="1:2">
      <c r="A244" s="23">
        <v>104785</v>
      </c>
      <c r="B244" s="1" t="s">
        <v>311</v>
      </c>
    </row>
    <row r="245" spans="1:2">
      <c r="A245" s="23">
        <v>104786</v>
      </c>
      <c r="B245" s="1" t="s">
        <v>312</v>
      </c>
    </row>
    <row r="246" spans="1:2">
      <c r="A246" s="23">
        <v>104787</v>
      </c>
      <c r="B246" s="1" t="s">
        <v>313</v>
      </c>
    </row>
    <row r="247" spans="1:2">
      <c r="A247" s="23">
        <v>104788</v>
      </c>
      <c r="B247" s="1" t="s">
        <v>314</v>
      </c>
    </row>
    <row r="248" spans="1:2">
      <c r="A248" s="23">
        <v>104789</v>
      </c>
      <c r="B248" s="1" t="s">
        <v>315</v>
      </c>
    </row>
    <row r="249" spans="1:2">
      <c r="A249" s="23">
        <v>104790</v>
      </c>
      <c r="B249" s="1" t="s">
        <v>316</v>
      </c>
    </row>
    <row r="250" spans="1:2">
      <c r="A250" s="23">
        <v>104791</v>
      </c>
      <c r="B250" s="1" t="s">
        <v>317</v>
      </c>
    </row>
    <row r="251" spans="1:2">
      <c r="A251" s="23">
        <v>104792</v>
      </c>
      <c r="B251" s="1" t="s">
        <v>318</v>
      </c>
    </row>
    <row r="252" spans="1:2">
      <c r="A252" s="23">
        <v>104793</v>
      </c>
      <c r="B252" s="1" t="s">
        <v>319</v>
      </c>
    </row>
    <row r="253" spans="1:2">
      <c r="A253" s="23">
        <v>104794</v>
      </c>
      <c r="B253" s="1" t="s">
        <v>320</v>
      </c>
    </row>
    <row r="254" spans="1:2">
      <c r="A254" s="23">
        <v>104795</v>
      </c>
      <c r="B254" s="1" t="s">
        <v>321</v>
      </c>
    </row>
    <row r="255" spans="1:2">
      <c r="A255" s="23">
        <v>104796</v>
      </c>
      <c r="B255" s="1" t="s">
        <v>322</v>
      </c>
    </row>
    <row r="256" spans="1:2">
      <c r="A256" s="23">
        <v>104797</v>
      </c>
      <c r="B256" s="1" t="s">
        <v>323</v>
      </c>
    </row>
    <row r="257" spans="1:2">
      <c r="A257" s="23">
        <v>104798</v>
      </c>
      <c r="B257" s="1" t="s">
        <v>324</v>
      </c>
    </row>
    <row r="258" spans="1:2">
      <c r="A258" s="23">
        <v>104799</v>
      </c>
      <c r="B258" s="1" t="s">
        <v>325</v>
      </c>
    </row>
    <row r="259" spans="1:2">
      <c r="A259" s="23">
        <v>104800</v>
      </c>
      <c r="B259" s="1" t="s">
        <v>326</v>
      </c>
    </row>
    <row r="260" spans="1:2">
      <c r="A260" s="23">
        <v>104801</v>
      </c>
      <c r="B260" s="1" t="s">
        <v>327</v>
      </c>
    </row>
    <row r="261" spans="1:2">
      <c r="A261" s="23">
        <v>104802</v>
      </c>
      <c r="B261" s="1" t="s">
        <v>328</v>
      </c>
    </row>
    <row r="262" spans="1:2">
      <c r="A262" s="23">
        <v>104803</v>
      </c>
      <c r="B262" s="1" t="s">
        <v>329</v>
      </c>
    </row>
    <row r="263" spans="1:2">
      <c r="A263" s="23">
        <v>104804</v>
      </c>
      <c r="B263" s="1" t="s">
        <v>330</v>
      </c>
    </row>
    <row r="264" spans="1:2">
      <c r="A264" s="23">
        <v>104805</v>
      </c>
      <c r="B264" s="1" t="s">
        <v>331</v>
      </c>
    </row>
    <row r="265" spans="1:2">
      <c r="A265" s="23">
        <v>104806</v>
      </c>
      <c r="B265" s="1" t="s">
        <v>332</v>
      </c>
    </row>
    <row r="266" spans="1:2">
      <c r="A266" s="23">
        <v>104807</v>
      </c>
      <c r="B266" s="1" t="s">
        <v>333</v>
      </c>
    </row>
    <row r="267" spans="1:2">
      <c r="A267" s="23">
        <v>104808</v>
      </c>
      <c r="B267" s="1" t="s">
        <v>334</v>
      </c>
    </row>
    <row r="268" spans="1:2">
      <c r="A268" s="23">
        <v>104809</v>
      </c>
      <c r="B268" s="1" t="s">
        <v>335</v>
      </c>
    </row>
    <row r="269" spans="1:2">
      <c r="A269" s="23">
        <v>104810</v>
      </c>
      <c r="B269" s="1" t="s">
        <v>336</v>
      </c>
    </row>
    <row r="270" spans="1:2">
      <c r="A270" s="23">
        <v>104811</v>
      </c>
      <c r="B270" s="1" t="s">
        <v>337</v>
      </c>
    </row>
    <row r="271" spans="1:2">
      <c r="A271" s="23">
        <v>104812</v>
      </c>
      <c r="B271" s="1" t="s">
        <v>338</v>
      </c>
    </row>
    <row r="272" spans="1:2">
      <c r="A272" s="23">
        <v>104813</v>
      </c>
      <c r="B272" s="1" t="s">
        <v>339</v>
      </c>
    </row>
    <row r="273" spans="1:2">
      <c r="A273" s="23">
        <v>104814</v>
      </c>
      <c r="B273" s="1" t="s">
        <v>340</v>
      </c>
    </row>
    <row r="274" spans="1:2">
      <c r="A274" s="23">
        <v>104815</v>
      </c>
      <c r="B274" s="1" t="s">
        <v>341</v>
      </c>
    </row>
    <row r="275" spans="1:2">
      <c r="A275" s="23">
        <v>104816</v>
      </c>
      <c r="B275" s="1" t="s">
        <v>342</v>
      </c>
    </row>
    <row r="276" spans="1:2">
      <c r="A276" s="23">
        <v>104817</v>
      </c>
      <c r="B276" s="1" t="s">
        <v>343</v>
      </c>
    </row>
    <row r="277" spans="1:2">
      <c r="A277" s="23">
        <v>104818</v>
      </c>
      <c r="B277" s="1" t="s">
        <v>344</v>
      </c>
    </row>
    <row r="278" spans="1:2">
      <c r="A278" s="23">
        <v>104819</v>
      </c>
      <c r="B278" s="1" t="s">
        <v>345</v>
      </c>
    </row>
    <row r="279" spans="1:2">
      <c r="A279" s="23">
        <v>104820</v>
      </c>
      <c r="B279" s="1" t="s">
        <v>346</v>
      </c>
    </row>
    <row r="280" spans="1:2">
      <c r="A280" s="23">
        <v>104821</v>
      </c>
      <c r="B280" s="1" t="s">
        <v>347</v>
      </c>
    </row>
    <row r="281" spans="1:2">
      <c r="A281" s="23">
        <v>104822</v>
      </c>
      <c r="B281" s="1" t="s">
        <v>348</v>
      </c>
    </row>
    <row r="282" spans="1:2">
      <c r="A282" s="23">
        <v>104823</v>
      </c>
      <c r="B282" s="1" t="s">
        <v>349</v>
      </c>
    </row>
    <row r="283" spans="1:2">
      <c r="A283" s="23">
        <v>104824</v>
      </c>
      <c r="B283" s="1" t="s">
        <v>350</v>
      </c>
    </row>
    <row r="284" spans="1:2">
      <c r="A284" s="23">
        <v>104825</v>
      </c>
      <c r="B284" s="1" t="s">
        <v>351</v>
      </c>
    </row>
    <row r="285" spans="1:2">
      <c r="A285" s="23">
        <v>104826</v>
      </c>
      <c r="B285" s="1" t="s">
        <v>352</v>
      </c>
    </row>
    <row r="286" spans="1:2">
      <c r="A286" s="23">
        <v>104827</v>
      </c>
      <c r="B286" s="1" t="s">
        <v>353</v>
      </c>
    </row>
    <row r="287" spans="1:2">
      <c r="A287" s="23">
        <v>104828</v>
      </c>
      <c r="B287" s="1" t="s">
        <v>354</v>
      </c>
    </row>
    <row r="288" spans="1:2">
      <c r="A288" s="23">
        <v>104829</v>
      </c>
      <c r="B288" s="1" t="s">
        <v>355</v>
      </c>
    </row>
    <row r="289" spans="1:2">
      <c r="A289" s="23">
        <v>104830</v>
      </c>
      <c r="B289" s="1" t="s">
        <v>356</v>
      </c>
    </row>
    <row r="290" spans="1:2">
      <c r="A290" s="23">
        <v>104831</v>
      </c>
      <c r="B290" s="1" t="s">
        <v>357</v>
      </c>
    </row>
    <row r="291" spans="1:2">
      <c r="A291" s="23">
        <v>104832</v>
      </c>
      <c r="B291" s="1" t="s">
        <v>358</v>
      </c>
    </row>
    <row r="292" spans="1:2">
      <c r="A292" s="23">
        <v>104833</v>
      </c>
      <c r="B292" s="1" t="s">
        <v>359</v>
      </c>
    </row>
    <row r="293" spans="1:2">
      <c r="A293" s="23">
        <v>104834</v>
      </c>
      <c r="B293" s="1" t="s">
        <v>360</v>
      </c>
    </row>
    <row r="294" spans="1:2">
      <c r="A294" s="23">
        <v>104835</v>
      </c>
      <c r="B294" s="1" t="s">
        <v>361</v>
      </c>
    </row>
    <row r="295" spans="1:2">
      <c r="A295" s="23">
        <v>104836</v>
      </c>
      <c r="B295" s="1" t="s">
        <v>362</v>
      </c>
    </row>
    <row r="296" spans="1:2">
      <c r="A296" s="23">
        <v>104837</v>
      </c>
      <c r="B296" s="1" t="s">
        <v>363</v>
      </c>
    </row>
    <row r="297" spans="1:2">
      <c r="A297" s="23">
        <v>104950</v>
      </c>
      <c r="B297" s="1" t="s">
        <v>364</v>
      </c>
    </row>
    <row r="298" spans="1:2">
      <c r="A298" s="23">
        <v>104951</v>
      </c>
      <c r="B298" s="1" t="s">
        <v>365</v>
      </c>
    </row>
    <row r="299" spans="1:2">
      <c r="A299" s="23">
        <v>104952</v>
      </c>
      <c r="B299" s="1" t="s">
        <v>366</v>
      </c>
    </row>
    <row r="300" spans="1:2">
      <c r="A300" s="23">
        <v>104953</v>
      </c>
      <c r="B300" s="1" t="s">
        <v>367</v>
      </c>
    </row>
    <row r="301" spans="1:2">
      <c r="A301" s="23">
        <v>104954</v>
      </c>
      <c r="B301" s="1" t="s">
        <v>368</v>
      </c>
    </row>
    <row r="302" spans="1:2">
      <c r="A302" s="23">
        <v>104955</v>
      </c>
      <c r="B302" s="1" t="s">
        <v>369</v>
      </c>
    </row>
    <row r="303" spans="1:2">
      <c r="A303" s="23">
        <v>104956</v>
      </c>
      <c r="B303" s="1" t="s">
        <v>370</v>
      </c>
    </row>
    <row r="304" spans="1:2">
      <c r="A304" s="23">
        <v>104957</v>
      </c>
      <c r="B304" s="1" t="s">
        <v>371</v>
      </c>
    </row>
    <row r="305" spans="1:2">
      <c r="A305" s="23">
        <v>104958</v>
      </c>
      <c r="B305" s="1" t="s">
        <v>372</v>
      </c>
    </row>
    <row r="306" spans="1:2">
      <c r="A306" s="23">
        <v>104959</v>
      </c>
      <c r="B306" s="1" t="s">
        <v>373</v>
      </c>
    </row>
    <row r="307" spans="1:2">
      <c r="A307" s="23">
        <v>104960</v>
      </c>
      <c r="B307" s="1" t="s">
        <v>374</v>
      </c>
    </row>
    <row r="308" spans="1:2">
      <c r="A308" s="23">
        <v>104961</v>
      </c>
      <c r="B308" s="1" t="s">
        <v>375</v>
      </c>
    </row>
    <row r="309" spans="1:2">
      <c r="A309" s="23">
        <v>104962</v>
      </c>
      <c r="B309" s="1" t="s">
        <v>376</v>
      </c>
    </row>
    <row r="310" spans="1:2">
      <c r="A310" s="23">
        <v>104963</v>
      </c>
      <c r="B310" s="1" t="s">
        <v>377</v>
      </c>
    </row>
    <row r="311" spans="1:2">
      <c r="A311" s="23">
        <v>104964</v>
      </c>
      <c r="B311" s="1" t="s">
        <v>378</v>
      </c>
    </row>
    <row r="312" spans="1:2">
      <c r="A312" s="23">
        <v>104965</v>
      </c>
      <c r="B312" s="1" t="s">
        <v>379</v>
      </c>
    </row>
    <row r="313" spans="1:2">
      <c r="A313" s="23">
        <v>104966</v>
      </c>
      <c r="B313" s="1" t="s">
        <v>380</v>
      </c>
    </row>
    <row r="314" spans="1:2">
      <c r="A314" s="23">
        <v>104967</v>
      </c>
      <c r="B314" s="1" t="s">
        <v>381</v>
      </c>
    </row>
    <row r="315" spans="1:2">
      <c r="A315" s="23">
        <v>104968</v>
      </c>
      <c r="B315" s="1" t="s">
        <v>382</v>
      </c>
    </row>
    <row r="316" spans="1:2">
      <c r="A316" s="23">
        <v>104969</v>
      </c>
      <c r="B316" s="1" t="s">
        <v>383</v>
      </c>
    </row>
    <row r="317" spans="1:2">
      <c r="A317" s="23">
        <v>104970</v>
      </c>
      <c r="B317" s="1" t="s">
        <v>384</v>
      </c>
    </row>
    <row r="318" spans="1:2">
      <c r="A318" s="23">
        <v>104971</v>
      </c>
      <c r="B318" s="1" t="s">
        <v>385</v>
      </c>
    </row>
    <row r="319" spans="1:2">
      <c r="A319" s="23">
        <v>104972</v>
      </c>
      <c r="B319" s="1" t="s">
        <v>386</v>
      </c>
    </row>
    <row r="320" spans="1:2">
      <c r="A320" s="23">
        <v>104973</v>
      </c>
      <c r="B320" s="1" t="s">
        <v>387</v>
      </c>
    </row>
    <row r="321" spans="1:2">
      <c r="A321" s="23">
        <v>104974</v>
      </c>
      <c r="B321" s="1" t="s">
        <v>388</v>
      </c>
    </row>
    <row r="322" spans="1:2">
      <c r="A322" s="23">
        <v>104975</v>
      </c>
      <c r="B322" s="1" t="s">
        <v>389</v>
      </c>
    </row>
    <row r="323" spans="1:2">
      <c r="A323" s="23">
        <v>104976</v>
      </c>
      <c r="B323" s="1" t="s">
        <v>390</v>
      </c>
    </row>
    <row r="324" spans="1:2">
      <c r="A324" s="23">
        <v>104977</v>
      </c>
      <c r="B324" s="1" t="s">
        <v>391</v>
      </c>
    </row>
    <row r="325" spans="1:2">
      <c r="A325" s="23">
        <v>104978</v>
      </c>
      <c r="B325" s="1" t="s">
        <v>392</v>
      </c>
    </row>
    <row r="326" spans="1:2">
      <c r="A326" s="23">
        <v>104979</v>
      </c>
      <c r="B326" s="1" t="s">
        <v>393</v>
      </c>
    </row>
    <row r="327" spans="1:2">
      <c r="A327" s="23">
        <v>104980</v>
      </c>
      <c r="B327" s="1" t="s">
        <v>394</v>
      </c>
    </row>
    <row r="328" spans="1:2">
      <c r="A328" s="23">
        <v>104981</v>
      </c>
      <c r="B328" s="1" t="s">
        <v>395</v>
      </c>
    </row>
    <row r="329" spans="1:2">
      <c r="A329" s="23">
        <v>104982</v>
      </c>
      <c r="B329" s="1" t="s">
        <v>396</v>
      </c>
    </row>
    <row r="330" spans="1:2">
      <c r="A330" s="23">
        <v>104983</v>
      </c>
      <c r="B330" s="1" t="s">
        <v>397</v>
      </c>
    </row>
    <row r="331" spans="1:2">
      <c r="A331" s="23">
        <v>104984</v>
      </c>
      <c r="B331" s="1" t="s">
        <v>398</v>
      </c>
    </row>
    <row r="332" spans="1:2">
      <c r="A332" s="23">
        <v>104985</v>
      </c>
      <c r="B332" s="1" t="s">
        <v>399</v>
      </c>
    </row>
    <row r="333" spans="1:2">
      <c r="A333" s="23">
        <v>104986</v>
      </c>
      <c r="B333" s="1" t="s">
        <v>400</v>
      </c>
    </row>
    <row r="334" spans="1:2">
      <c r="A334" s="23">
        <v>104987</v>
      </c>
      <c r="B334" s="1" t="s">
        <v>401</v>
      </c>
    </row>
    <row r="335" spans="1:2">
      <c r="A335" s="23">
        <v>104988</v>
      </c>
      <c r="B335" s="1" t="s">
        <v>402</v>
      </c>
    </row>
    <row r="336" spans="1:2">
      <c r="A336" s="23">
        <v>104989</v>
      </c>
      <c r="B336" s="1" t="s">
        <v>403</v>
      </c>
    </row>
    <row r="337" spans="1:2">
      <c r="A337" s="23">
        <v>104990</v>
      </c>
      <c r="B337" s="1" t="s">
        <v>404</v>
      </c>
    </row>
    <row r="338" spans="1:2">
      <c r="A338" s="23">
        <v>104991</v>
      </c>
      <c r="B338" s="1" t="s">
        <v>405</v>
      </c>
    </row>
    <row r="339" spans="1:2">
      <c r="A339" s="23">
        <v>104992</v>
      </c>
      <c r="B339" s="1" t="s">
        <v>406</v>
      </c>
    </row>
    <row r="340" spans="1:2">
      <c r="A340" s="23">
        <v>104993</v>
      </c>
      <c r="B340" s="1" t="s">
        <v>407</v>
      </c>
    </row>
    <row r="341" spans="1:2">
      <c r="A341" s="23">
        <v>104994</v>
      </c>
      <c r="B341" s="1" t="s">
        <v>408</v>
      </c>
    </row>
    <row r="342" spans="1:2">
      <c r="A342" s="23">
        <v>104995</v>
      </c>
      <c r="B342" s="1" t="s">
        <v>409</v>
      </c>
    </row>
    <row r="343" spans="1:2">
      <c r="A343" s="23">
        <v>104996</v>
      </c>
      <c r="B343" s="1" t="s">
        <v>410</v>
      </c>
    </row>
    <row r="344" spans="1:2">
      <c r="A344" s="23">
        <v>104997</v>
      </c>
      <c r="B344" s="1" t="s">
        <v>411</v>
      </c>
    </row>
    <row r="345" spans="1:2">
      <c r="A345" s="23">
        <v>104998</v>
      </c>
      <c r="B345" s="1" t="s">
        <v>412</v>
      </c>
    </row>
    <row r="346" spans="1:2">
      <c r="A346" s="23">
        <v>104999</v>
      </c>
      <c r="B346" s="1" t="s">
        <v>413</v>
      </c>
    </row>
    <row r="347" spans="1:2">
      <c r="A347" s="23">
        <v>105000</v>
      </c>
      <c r="B347" s="1" t="s">
        <v>414</v>
      </c>
    </row>
    <row r="348" spans="1:2">
      <c r="A348" s="23">
        <v>105001</v>
      </c>
      <c r="B348" s="1" t="s">
        <v>415</v>
      </c>
    </row>
    <row r="349" spans="1:2">
      <c r="A349" s="23">
        <v>105002</v>
      </c>
      <c r="B349" s="1" t="s">
        <v>416</v>
      </c>
    </row>
    <row r="350" spans="1:2">
      <c r="A350" s="23">
        <v>105003</v>
      </c>
      <c r="B350" s="1" t="s">
        <v>417</v>
      </c>
    </row>
    <row r="351" spans="1:2">
      <c r="A351" s="23">
        <v>105004</v>
      </c>
      <c r="B351" s="1" t="s">
        <v>418</v>
      </c>
    </row>
    <row r="352" spans="1:2">
      <c r="A352" s="23">
        <v>105005</v>
      </c>
      <c r="B352" s="1" t="s">
        <v>419</v>
      </c>
    </row>
    <row r="353" spans="1:2">
      <c r="A353" s="23">
        <v>105006</v>
      </c>
      <c r="B353" s="1" t="s">
        <v>420</v>
      </c>
    </row>
    <row r="354" spans="1:2">
      <c r="A354" s="23">
        <v>105007</v>
      </c>
      <c r="B354" s="1" t="s">
        <v>421</v>
      </c>
    </row>
    <row r="355" spans="1:2">
      <c r="A355" s="23">
        <v>105008</v>
      </c>
      <c r="B355" s="1" t="s">
        <v>422</v>
      </c>
    </row>
    <row r="356" spans="1:2">
      <c r="A356" s="23">
        <v>105009</v>
      </c>
      <c r="B356" s="1" t="s">
        <v>423</v>
      </c>
    </row>
    <row r="357" spans="1:2">
      <c r="A357" s="23">
        <v>105010</v>
      </c>
      <c r="B357" s="1" t="s">
        <v>424</v>
      </c>
    </row>
    <row r="358" spans="1:2">
      <c r="A358" s="23">
        <v>105011</v>
      </c>
      <c r="B358" s="1" t="s">
        <v>425</v>
      </c>
    </row>
    <row r="359" spans="1:2">
      <c r="A359" s="23">
        <v>105012</v>
      </c>
      <c r="B359" s="1" t="s">
        <v>426</v>
      </c>
    </row>
    <row r="360" spans="1:2">
      <c r="A360" s="23">
        <v>105013</v>
      </c>
      <c r="B360" s="1" t="s">
        <v>427</v>
      </c>
    </row>
    <row r="361" spans="1:2">
      <c r="A361" s="23">
        <v>105014</v>
      </c>
      <c r="B361" s="1" t="s">
        <v>428</v>
      </c>
    </row>
    <row r="362" spans="1:2">
      <c r="A362" s="23">
        <v>105015</v>
      </c>
      <c r="B362" s="1" t="s">
        <v>429</v>
      </c>
    </row>
    <row r="363" spans="1:2">
      <c r="A363" s="23">
        <v>105016</v>
      </c>
      <c r="B363" s="1" t="s">
        <v>430</v>
      </c>
    </row>
    <row r="364" spans="1:2">
      <c r="A364" s="23">
        <v>105017</v>
      </c>
      <c r="B364" s="1" t="s">
        <v>431</v>
      </c>
    </row>
    <row r="365" spans="1:2">
      <c r="A365" s="23">
        <v>105018</v>
      </c>
      <c r="B365" s="1" t="s">
        <v>432</v>
      </c>
    </row>
    <row r="366" spans="1:2">
      <c r="A366" s="23">
        <v>105019</v>
      </c>
      <c r="B366" s="1" t="s">
        <v>433</v>
      </c>
    </row>
    <row r="367" spans="1:2">
      <c r="A367" s="23">
        <v>105020</v>
      </c>
      <c r="B367" s="1" t="s">
        <v>434</v>
      </c>
    </row>
    <row r="368" spans="1:2">
      <c r="A368" s="23">
        <v>105021</v>
      </c>
      <c r="B368" s="1" t="s">
        <v>435</v>
      </c>
    </row>
    <row r="369" spans="1:2">
      <c r="A369" s="23">
        <v>105022</v>
      </c>
      <c r="B369" s="1" t="s">
        <v>436</v>
      </c>
    </row>
    <row r="370" spans="1:2">
      <c r="A370" s="23">
        <v>105023</v>
      </c>
      <c r="B370" s="1" t="s">
        <v>437</v>
      </c>
    </row>
    <row r="371" spans="1:2">
      <c r="A371" s="23">
        <v>105024</v>
      </c>
      <c r="B371" s="1" t="s">
        <v>438</v>
      </c>
    </row>
    <row r="372" spans="1:2">
      <c r="A372" s="23">
        <v>105025</v>
      </c>
      <c r="B372" s="1" t="s">
        <v>439</v>
      </c>
    </row>
    <row r="373" spans="1:2">
      <c r="A373" s="23">
        <v>105026</v>
      </c>
      <c r="B373" s="1" t="s">
        <v>440</v>
      </c>
    </row>
    <row r="374" spans="1:2">
      <c r="A374" s="23">
        <v>105027</v>
      </c>
      <c r="B374" s="1" t="s">
        <v>441</v>
      </c>
    </row>
    <row r="375" spans="1:2">
      <c r="A375" s="23">
        <v>105028</v>
      </c>
      <c r="B375" s="1" t="s">
        <v>442</v>
      </c>
    </row>
    <row r="376" spans="1:2">
      <c r="A376" s="23">
        <v>105029</v>
      </c>
      <c r="B376" s="1" t="s">
        <v>443</v>
      </c>
    </row>
    <row r="377" spans="1:2">
      <c r="A377" s="23">
        <v>105030</v>
      </c>
      <c r="B377" s="1" t="s">
        <v>444</v>
      </c>
    </row>
    <row r="378" spans="1:2">
      <c r="A378" s="23">
        <v>105031</v>
      </c>
      <c r="B378" s="1" t="s">
        <v>445</v>
      </c>
    </row>
    <row r="379" spans="1:2">
      <c r="A379" s="23">
        <v>105032</v>
      </c>
      <c r="B379" s="1" t="s">
        <v>446</v>
      </c>
    </row>
    <row r="380" spans="1:2">
      <c r="A380" s="23">
        <v>105033</v>
      </c>
      <c r="B380" s="1" t="s">
        <v>447</v>
      </c>
    </row>
    <row r="381" spans="1:2">
      <c r="A381" s="23">
        <v>105034</v>
      </c>
      <c r="B381" s="1" t="s">
        <v>448</v>
      </c>
    </row>
    <row r="382" spans="1:2">
      <c r="A382" s="23">
        <v>105035</v>
      </c>
      <c r="B382" s="1" t="s">
        <v>449</v>
      </c>
    </row>
    <row r="383" spans="1:2">
      <c r="A383" s="23">
        <v>105036</v>
      </c>
      <c r="B383" s="1" t="s">
        <v>450</v>
      </c>
    </row>
    <row r="384" spans="1:2">
      <c r="A384" s="23">
        <v>105037</v>
      </c>
      <c r="B384" s="1" t="s">
        <v>451</v>
      </c>
    </row>
    <row r="385" spans="1:2">
      <c r="A385" s="23">
        <v>105038</v>
      </c>
      <c r="B385" s="1" t="s">
        <v>452</v>
      </c>
    </row>
    <row r="386" spans="1:2">
      <c r="A386" s="23">
        <v>105039</v>
      </c>
      <c r="B386" s="1" t="s">
        <v>453</v>
      </c>
    </row>
    <row r="387" spans="1:2">
      <c r="A387" s="23">
        <v>105040</v>
      </c>
      <c r="B387" s="1" t="s">
        <v>454</v>
      </c>
    </row>
    <row r="388" spans="1:2">
      <c r="A388" s="23">
        <v>105041</v>
      </c>
      <c r="B388" s="1" t="s">
        <v>455</v>
      </c>
    </row>
    <row r="389" spans="1:2">
      <c r="A389" s="23">
        <v>105042</v>
      </c>
      <c r="B389" s="1" t="s">
        <v>456</v>
      </c>
    </row>
    <row r="390" spans="1:2">
      <c r="A390" s="23">
        <v>105043</v>
      </c>
      <c r="B390" s="1" t="s">
        <v>457</v>
      </c>
    </row>
    <row r="391" spans="1:2">
      <c r="A391" s="23">
        <v>105044</v>
      </c>
      <c r="B391" s="1" t="s">
        <v>458</v>
      </c>
    </row>
    <row r="392" spans="1:2">
      <c r="A392" s="23">
        <v>105045</v>
      </c>
      <c r="B392" s="1" t="s">
        <v>459</v>
      </c>
    </row>
    <row r="393" spans="1:2">
      <c r="A393" s="23">
        <v>105046</v>
      </c>
      <c r="B393" s="1" t="s">
        <v>460</v>
      </c>
    </row>
    <row r="394" spans="1:2">
      <c r="A394" s="23">
        <v>105047</v>
      </c>
      <c r="B394" s="1" t="s">
        <v>461</v>
      </c>
    </row>
    <row r="395" spans="1:2">
      <c r="A395" s="23">
        <v>105048</v>
      </c>
      <c r="B395" s="1" t="s">
        <v>462</v>
      </c>
    </row>
    <row r="396" spans="1:2">
      <c r="A396" s="23">
        <v>105049</v>
      </c>
      <c r="B396" s="1" t="s">
        <v>463</v>
      </c>
    </row>
    <row r="397" spans="1:2">
      <c r="A397" s="23">
        <v>105050</v>
      </c>
      <c r="B397" s="1" t="s">
        <v>464</v>
      </c>
    </row>
    <row r="398" spans="1:2">
      <c r="A398" s="23">
        <v>105051</v>
      </c>
      <c r="B398" s="1" t="s">
        <v>465</v>
      </c>
    </row>
    <row r="399" spans="1:2">
      <c r="A399" s="23">
        <v>105052</v>
      </c>
      <c r="B399" s="1" t="s">
        <v>466</v>
      </c>
    </row>
    <row r="400" spans="1:2">
      <c r="A400" s="23">
        <v>105053</v>
      </c>
      <c r="B400" s="1" t="s">
        <v>467</v>
      </c>
    </row>
    <row r="401" spans="1:2">
      <c r="A401" s="23">
        <v>105054</v>
      </c>
      <c r="B401" s="1" t="s">
        <v>468</v>
      </c>
    </row>
    <row r="402" spans="1:2">
      <c r="A402" s="23">
        <v>105055</v>
      </c>
      <c r="B402" s="1" t="s">
        <v>469</v>
      </c>
    </row>
    <row r="403" spans="1:2">
      <c r="A403" s="23">
        <v>105056</v>
      </c>
      <c r="B403" s="1" t="s">
        <v>470</v>
      </c>
    </row>
    <row r="404" spans="1:2">
      <c r="A404" s="23">
        <v>105057</v>
      </c>
      <c r="B404" s="1" t="s">
        <v>471</v>
      </c>
    </row>
    <row r="405" spans="1:2">
      <c r="A405" s="23">
        <v>105058</v>
      </c>
      <c r="B405" s="1" t="s">
        <v>472</v>
      </c>
    </row>
    <row r="406" spans="1:2">
      <c r="A406" s="23">
        <v>105059</v>
      </c>
      <c r="B406" s="1" t="s">
        <v>473</v>
      </c>
    </row>
    <row r="407" spans="1:2">
      <c r="A407" s="23">
        <v>105060</v>
      </c>
      <c r="B407" s="1" t="s">
        <v>474</v>
      </c>
    </row>
    <row r="408" spans="1:2">
      <c r="A408" s="23">
        <v>105061</v>
      </c>
      <c r="B408" s="1" t="s">
        <v>475</v>
      </c>
    </row>
    <row r="409" spans="1:2">
      <c r="A409" s="23">
        <v>105062</v>
      </c>
      <c r="B409" s="1" t="s">
        <v>476</v>
      </c>
    </row>
    <row r="410" spans="1:2">
      <c r="A410" s="23">
        <v>105063</v>
      </c>
      <c r="B410" s="1" t="s">
        <v>477</v>
      </c>
    </row>
    <row r="411" spans="1:2">
      <c r="A411" s="23">
        <v>105064</v>
      </c>
      <c r="B411" s="1" t="s">
        <v>478</v>
      </c>
    </row>
    <row r="412" spans="1:2">
      <c r="A412" s="23">
        <v>105065</v>
      </c>
      <c r="B412" s="1" t="s">
        <v>479</v>
      </c>
    </row>
    <row r="413" spans="1:2">
      <c r="A413" s="23">
        <v>105066</v>
      </c>
      <c r="B413" s="1" t="s">
        <v>480</v>
      </c>
    </row>
    <row r="414" spans="1:2">
      <c r="A414" s="23">
        <v>105067</v>
      </c>
      <c r="B414" s="1" t="s">
        <v>481</v>
      </c>
    </row>
    <row r="415" spans="1:2">
      <c r="A415" s="23">
        <v>105068</v>
      </c>
      <c r="B415" s="1" t="s">
        <v>482</v>
      </c>
    </row>
    <row r="416" spans="1:2">
      <c r="A416" s="23">
        <v>105069</v>
      </c>
      <c r="B416" s="1" t="s">
        <v>483</v>
      </c>
    </row>
    <row r="417" spans="1:2">
      <c r="A417" s="23">
        <v>105070</v>
      </c>
      <c r="B417" s="1" t="s">
        <v>484</v>
      </c>
    </row>
    <row r="418" spans="1:2">
      <c r="A418" s="23">
        <v>105071</v>
      </c>
      <c r="B418" s="1" t="s">
        <v>485</v>
      </c>
    </row>
    <row r="419" spans="1:2">
      <c r="A419" s="23">
        <v>105072</v>
      </c>
      <c r="B419" s="1" t="s">
        <v>486</v>
      </c>
    </row>
    <row r="420" spans="1:2">
      <c r="A420" s="23">
        <v>105073</v>
      </c>
      <c r="B420" s="1" t="s">
        <v>487</v>
      </c>
    </row>
    <row r="421" spans="1:2">
      <c r="A421" s="23">
        <v>105074</v>
      </c>
      <c r="B421" s="1" t="s">
        <v>488</v>
      </c>
    </row>
    <row r="422" spans="1:2">
      <c r="A422" s="23">
        <v>105075</v>
      </c>
      <c r="B422" s="1" t="s">
        <v>489</v>
      </c>
    </row>
    <row r="423" spans="1:2">
      <c r="A423" s="23">
        <v>105076</v>
      </c>
      <c r="B423" s="1" t="s">
        <v>490</v>
      </c>
    </row>
    <row r="424" spans="1:2">
      <c r="A424" s="23">
        <v>105077</v>
      </c>
      <c r="B424" s="1" t="s">
        <v>491</v>
      </c>
    </row>
    <row r="425" spans="1:2">
      <c r="A425" s="23">
        <v>105078</v>
      </c>
      <c r="B425" s="1" t="s">
        <v>492</v>
      </c>
    </row>
    <row r="426" spans="1:2">
      <c r="A426" s="23">
        <v>105079</v>
      </c>
      <c r="B426" s="1" t="s">
        <v>493</v>
      </c>
    </row>
    <row r="427" spans="1:2">
      <c r="A427" s="23">
        <v>105080</v>
      </c>
      <c r="B427" s="1" t="s">
        <v>494</v>
      </c>
    </row>
    <row r="428" spans="1:2">
      <c r="A428" s="23">
        <v>105081</v>
      </c>
      <c r="B428" s="1" t="s">
        <v>495</v>
      </c>
    </row>
    <row r="429" spans="1:2">
      <c r="A429" s="23">
        <v>105082</v>
      </c>
      <c r="B429" s="1" t="s">
        <v>496</v>
      </c>
    </row>
    <row r="430" spans="1:2">
      <c r="A430" s="23">
        <v>105083</v>
      </c>
      <c r="B430" s="1" t="s">
        <v>497</v>
      </c>
    </row>
    <row r="431" spans="1:2">
      <c r="A431" s="23">
        <v>105084</v>
      </c>
      <c r="B431" s="1" t="s">
        <v>498</v>
      </c>
    </row>
    <row r="432" spans="1:2">
      <c r="A432" s="23">
        <v>105085</v>
      </c>
      <c r="B432" s="1" t="s">
        <v>499</v>
      </c>
    </row>
    <row r="433" spans="1:2">
      <c r="A433" s="23">
        <v>105086</v>
      </c>
      <c r="B433" s="1" t="s">
        <v>500</v>
      </c>
    </row>
    <row r="434" spans="1:2">
      <c r="A434" s="23">
        <v>105087</v>
      </c>
      <c r="B434" s="1" t="s">
        <v>501</v>
      </c>
    </row>
    <row r="435" spans="1:2">
      <c r="A435" s="23">
        <v>105088</v>
      </c>
      <c r="B435" s="1" t="s">
        <v>502</v>
      </c>
    </row>
    <row r="436" spans="1:2">
      <c r="A436" s="23">
        <v>105089</v>
      </c>
      <c r="B436" s="1" t="s">
        <v>503</v>
      </c>
    </row>
    <row r="437" spans="1:2">
      <c r="A437" s="23">
        <v>105090</v>
      </c>
      <c r="B437" s="1" t="s">
        <v>504</v>
      </c>
    </row>
    <row r="438" spans="1:2">
      <c r="A438" s="23">
        <v>105091</v>
      </c>
      <c r="B438" s="1" t="s">
        <v>505</v>
      </c>
    </row>
    <row r="439" spans="1:2">
      <c r="A439" s="23">
        <v>105092</v>
      </c>
      <c r="B439" s="1" t="s">
        <v>506</v>
      </c>
    </row>
    <row r="440" spans="1:2">
      <c r="A440" s="23">
        <v>105093</v>
      </c>
      <c r="B440" s="1" t="s">
        <v>507</v>
      </c>
    </row>
    <row r="441" spans="1:2">
      <c r="A441" s="23">
        <v>105094</v>
      </c>
      <c r="B441" s="1" t="s">
        <v>508</v>
      </c>
    </row>
    <row r="442" spans="1:2">
      <c r="A442" s="23">
        <v>105095</v>
      </c>
      <c r="B442" s="1" t="s">
        <v>509</v>
      </c>
    </row>
    <row r="443" spans="1:2">
      <c r="A443" s="23">
        <v>105096</v>
      </c>
      <c r="B443" s="1" t="s">
        <v>510</v>
      </c>
    </row>
    <row r="444" spans="1:2">
      <c r="A444" s="23">
        <v>105097</v>
      </c>
      <c r="B444" s="1" t="s">
        <v>511</v>
      </c>
    </row>
    <row r="445" spans="1:2">
      <c r="A445" s="23">
        <v>105098</v>
      </c>
      <c r="B445" s="1" t="s">
        <v>512</v>
      </c>
    </row>
    <row r="446" spans="1:2">
      <c r="A446" s="23">
        <v>105099</v>
      </c>
      <c r="B446" s="1" t="s">
        <v>513</v>
      </c>
    </row>
    <row r="447" spans="1:2">
      <c r="A447" s="23">
        <v>105100</v>
      </c>
      <c r="B447" s="1" t="s">
        <v>514</v>
      </c>
    </row>
    <row r="448" spans="1:2">
      <c r="A448" s="23">
        <v>105101</v>
      </c>
      <c r="B448" s="1" t="s">
        <v>515</v>
      </c>
    </row>
    <row r="449" spans="1:2">
      <c r="A449" s="23">
        <v>105102</v>
      </c>
      <c r="B449" s="1" t="s">
        <v>516</v>
      </c>
    </row>
    <row r="450" spans="1:2">
      <c r="A450" s="23">
        <v>105103</v>
      </c>
      <c r="B450" s="1" t="s">
        <v>517</v>
      </c>
    </row>
    <row r="451" spans="1:2">
      <c r="A451" s="23">
        <v>105104</v>
      </c>
      <c r="B451" s="1" t="s">
        <v>518</v>
      </c>
    </row>
    <row r="452" spans="1:2">
      <c r="A452" s="23">
        <v>105105</v>
      </c>
      <c r="B452" s="1" t="s">
        <v>519</v>
      </c>
    </row>
    <row r="453" spans="1:2">
      <c r="A453" s="23">
        <v>105106</v>
      </c>
      <c r="B453" s="1" t="s">
        <v>520</v>
      </c>
    </row>
    <row r="454" spans="1:2">
      <c r="A454" s="23">
        <v>105107</v>
      </c>
      <c r="B454" s="1" t="s">
        <v>521</v>
      </c>
    </row>
    <row r="455" spans="1:2">
      <c r="A455" s="23">
        <v>105108</v>
      </c>
      <c r="B455" s="1" t="s">
        <v>522</v>
      </c>
    </row>
    <row r="456" spans="1:2">
      <c r="A456" s="23">
        <v>105109</v>
      </c>
      <c r="B456" s="1" t="s">
        <v>523</v>
      </c>
    </row>
    <row r="457" spans="1:2">
      <c r="A457" s="23">
        <v>105110</v>
      </c>
      <c r="B457" s="1" t="s">
        <v>524</v>
      </c>
    </row>
    <row r="458" spans="1:2">
      <c r="A458" s="23">
        <v>105111</v>
      </c>
      <c r="B458" s="1" t="s">
        <v>525</v>
      </c>
    </row>
    <row r="459" spans="1:2">
      <c r="A459" s="23">
        <v>105112</v>
      </c>
      <c r="B459" s="1" t="s">
        <v>526</v>
      </c>
    </row>
    <row r="460" spans="1:2">
      <c r="A460" s="23">
        <v>105113</v>
      </c>
      <c r="B460" s="1" t="s">
        <v>527</v>
      </c>
    </row>
    <row r="461" spans="1:2">
      <c r="A461" s="23">
        <v>105114</v>
      </c>
      <c r="B461" s="1" t="s">
        <v>528</v>
      </c>
    </row>
    <row r="462" spans="1:2">
      <c r="A462" s="23">
        <v>105115</v>
      </c>
      <c r="B462" s="1" t="s">
        <v>529</v>
      </c>
    </row>
    <row r="463" spans="1:2">
      <c r="A463" s="23">
        <v>105116</v>
      </c>
      <c r="B463" s="1" t="s">
        <v>530</v>
      </c>
    </row>
    <row r="464" spans="1:2">
      <c r="A464" s="23">
        <v>105117</v>
      </c>
      <c r="B464" s="1" t="s">
        <v>531</v>
      </c>
    </row>
    <row r="465" spans="1:2">
      <c r="A465" s="23">
        <v>105118</v>
      </c>
      <c r="B465" s="1" t="s">
        <v>532</v>
      </c>
    </row>
    <row r="466" spans="1:2">
      <c r="A466" s="23">
        <v>105119</v>
      </c>
      <c r="B466" s="1" t="s">
        <v>533</v>
      </c>
    </row>
    <row r="467" spans="1:2">
      <c r="A467" s="23">
        <v>105120</v>
      </c>
      <c r="B467" s="1" t="s">
        <v>534</v>
      </c>
    </row>
    <row r="468" spans="1:2">
      <c r="A468" s="23">
        <v>105121</v>
      </c>
      <c r="B468" s="1" t="s">
        <v>535</v>
      </c>
    </row>
    <row r="469" spans="1:2">
      <c r="A469" s="23">
        <v>105122</v>
      </c>
      <c r="B469" s="1" t="s">
        <v>536</v>
      </c>
    </row>
    <row r="470" spans="1:2">
      <c r="A470" s="23">
        <v>105123</v>
      </c>
      <c r="B470" s="1" t="s">
        <v>537</v>
      </c>
    </row>
    <row r="471" spans="1:2">
      <c r="A471" s="23">
        <v>105124</v>
      </c>
      <c r="B471" s="1" t="s">
        <v>538</v>
      </c>
    </row>
    <row r="472" spans="1:2">
      <c r="A472" s="23">
        <v>105125</v>
      </c>
      <c r="B472" s="1" t="s">
        <v>539</v>
      </c>
    </row>
    <row r="473" spans="1:2">
      <c r="A473" s="23">
        <v>105126</v>
      </c>
      <c r="B473" s="1" t="s">
        <v>540</v>
      </c>
    </row>
    <row r="474" spans="1:2">
      <c r="A474" s="23">
        <v>105127</v>
      </c>
      <c r="B474" s="1" t="s">
        <v>541</v>
      </c>
    </row>
    <row r="475" spans="1:2">
      <c r="A475" s="23">
        <v>105128</v>
      </c>
      <c r="B475" s="1" t="s">
        <v>542</v>
      </c>
    </row>
    <row r="476" spans="1:2">
      <c r="A476" s="23">
        <v>105129</v>
      </c>
      <c r="B476" s="1" t="s">
        <v>543</v>
      </c>
    </row>
    <row r="477" spans="1:2">
      <c r="A477" s="23">
        <v>105130</v>
      </c>
      <c r="B477" s="1" t="s">
        <v>544</v>
      </c>
    </row>
    <row r="478" spans="1:2">
      <c r="A478" s="23">
        <v>105131</v>
      </c>
      <c r="B478" s="1" t="s">
        <v>545</v>
      </c>
    </row>
    <row r="479" spans="1:2">
      <c r="A479" s="23">
        <v>105132</v>
      </c>
      <c r="B479" s="1" t="s">
        <v>546</v>
      </c>
    </row>
    <row r="480" spans="1:2">
      <c r="A480" s="23">
        <v>105133</v>
      </c>
      <c r="B480" s="1" t="s">
        <v>547</v>
      </c>
    </row>
    <row r="481" spans="1:2">
      <c r="A481" s="23">
        <v>105134</v>
      </c>
      <c r="B481" s="1" t="s">
        <v>548</v>
      </c>
    </row>
    <row r="482" spans="1:2">
      <c r="A482" s="23">
        <v>105135</v>
      </c>
      <c r="B482" s="1" t="s">
        <v>549</v>
      </c>
    </row>
    <row r="483" spans="1:2">
      <c r="A483" s="23">
        <v>105136</v>
      </c>
      <c r="B483" s="1" t="s">
        <v>550</v>
      </c>
    </row>
    <row r="484" spans="1:2">
      <c r="A484" s="23">
        <v>105137</v>
      </c>
      <c r="B484" s="1" t="s">
        <v>551</v>
      </c>
    </row>
    <row r="485" spans="1:2">
      <c r="A485" s="23">
        <v>105138</v>
      </c>
      <c r="B485" s="1" t="s">
        <v>552</v>
      </c>
    </row>
    <row r="486" spans="1:2">
      <c r="A486" s="23">
        <v>105139</v>
      </c>
      <c r="B486" s="1" t="s">
        <v>553</v>
      </c>
    </row>
    <row r="487" spans="1:2">
      <c r="A487" s="23">
        <v>105140</v>
      </c>
      <c r="B487" s="1" t="s">
        <v>554</v>
      </c>
    </row>
    <row r="488" spans="1:2">
      <c r="A488" s="23">
        <v>105141</v>
      </c>
      <c r="B488" s="1" t="s">
        <v>555</v>
      </c>
    </row>
    <row r="489" spans="1:2">
      <c r="A489" s="23">
        <v>105142</v>
      </c>
      <c r="B489" s="1" t="s">
        <v>556</v>
      </c>
    </row>
    <row r="490" spans="1:2">
      <c r="A490" s="23">
        <v>105143</v>
      </c>
      <c r="B490" s="1" t="s">
        <v>557</v>
      </c>
    </row>
    <row r="491" spans="1:2">
      <c r="A491" s="23">
        <v>105144</v>
      </c>
      <c r="B491" s="1" t="s">
        <v>558</v>
      </c>
    </row>
    <row r="492" spans="1:2">
      <c r="A492" s="23">
        <v>105145</v>
      </c>
      <c r="B492" s="1" t="s">
        <v>559</v>
      </c>
    </row>
    <row r="493" spans="1:2">
      <c r="A493" s="23">
        <v>105146</v>
      </c>
      <c r="B493" s="1" t="s">
        <v>560</v>
      </c>
    </row>
    <row r="494" spans="1:2">
      <c r="A494" s="23">
        <v>105147</v>
      </c>
      <c r="B494" s="1" t="s">
        <v>561</v>
      </c>
    </row>
    <row r="495" spans="1:2">
      <c r="A495" s="23">
        <v>105148</v>
      </c>
      <c r="B495" s="1" t="s">
        <v>562</v>
      </c>
    </row>
    <row r="496" spans="1:2">
      <c r="A496" s="23">
        <v>105149</v>
      </c>
      <c r="B496" s="1" t="s">
        <v>563</v>
      </c>
    </row>
    <row r="497" spans="1:2">
      <c r="A497" s="23">
        <v>105150</v>
      </c>
      <c r="B497" s="1" t="s">
        <v>564</v>
      </c>
    </row>
    <row r="498" spans="1:2">
      <c r="A498" s="23">
        <v>105151</v>
      </c>
      <c r="B498" s="1" t="s">
        <v>565</v>
      </c>
    </row>
    <row r="499" spans="1:2">
      <c r="A499" s="23">
        <v>105152</v>
      </c>
      <c r="B499" s="1" t="s">
        <v>566</v>
      </c>
    </row>
    <row r="500" spans="1:2">
      <c r="A500" s="23">
        <v>105153</v>
      </c>
      <c r="B500" s="1" t="s">
        <v>567</v>
      </c>
    </row>
    <row r="501" spans="1:2">
      <c r="A501" s="23">
        <v>105154</v>
      </c>
      <c r="B501" s="1" t="s">
        <v>568</v>
      </c>
    </row>
    <row r="502" spans="1:2">
      <c r="A502" s="23">
        <v>105155</v>
      </c>
      <c r="B502" s="1" t="s">
        <v>569</v>
      </c>
    </row>
    <row r="503" spans="1:2">
      <c r="A503" s="23">
        <v>105156</v>
      </c>
      <c r="B503" s="1" t="s">
        <v>570</v>
      </c>
    </row>
    <row r="504" spans="1:2">
      <c r="A504" s="23">
        <v>105157</v>
      </c>
      <c r="B504" s="1" t="s">
        <v>571</v>
      </c>
    </row>
    <row r="505" spans="1:2">
      <c r="A505" s="23">
        <v>105158</v>
      </c>
      <c r="B505" s="1" t="s">
        <v>572</v>
      </c>
    </row>
    <row r="506" spans="1:2">
      <c r="A506" s="23">
        <v>105159</v>
      </c>
      <c r="B506" s="1" t="s">
        <v>573</v>
      </c>
    </row>
    <row r="507" spans="1:2">
      <c r="A507" s="23">
        <v>105160</v>
      </c>
      <c r="B507" s="1" t="s">
        <v>574</v>
      </c>
    </row>
    <row r="508" spans="1:2">
      <c r="A508" s="23">
        <v>105161</v>
      </c>
      <c r="B508" s="1" t="s">
        <v>575</v>
      </c>
    </row>
    <row r="509" spans="1:2">
      <c r="A509" s="23">
        <v>105162</v>
      </c>
      <c r="B509" s="1" t="s">
        <v>576</v>
      </c>
    </row>
    <row r="510" spans="1:2">
      <c r="A510" s="23">
        <v>105163</v>
      </c>
      <c r="B510" s="1" t="s">
        <v>577</v>
      </c>
    </row>
    <row r="511" spans="1:2">
      <c r="A511" s="23">
        <v>105164</v>
      </c>
      <c r="B511" s="1" t="s">
        <v>578</v>
      </c>
    </row>
    <row r="512" spans="1:2">
      <c r="A512" s="23">
        <v>105165</v>
      </c>
      <c r="B512" s="1" t="s">
        <v>579</v>
      </c>
    </row>
    <row r="513" spans="1:2">
      <c r="A513" s="23">
        <v>105166</v>
      </c>
      <c r="B513" s="1" t="s">
        <v>580</v>
      </c>
    </row>
    <row r="514" spans="1:2">
      <c r="A514" s="23">
        <v>105167</v>
      </c>
      <c r="B514" s="1" t="s">
        <v>581</v>
      </c>
    </row>
    <row r="515" spans="1:2">
      <c r="A515" s="23">
        <v>105168</v>
      </c>
      <c r="B515" s="1" t="s">
        <v>582</v>
      </c>
    </row>
    <row r="516" spans="1:2">
      <c r="A516" s="23">
        <v>105169</v>
      </c>
      <c r="B516" s="1" t="s">
        <v>583</v>
      </c>
    </row>
    <row r="517" spans="1:2">
      <c r="A517" s="23">
        <v>105170</v>
      </c>
      <c r="B517" s="1" t="s">
        <v>584</v>
      </c>
    </row>
    <row r="518" spans="1:2">
      <c r="A518" s="23">
        <v>105171</v>
      </c>
      <c r="B518" s="1" t="s">
        <v>585</v>
      </c>
    </row>
    <row r="519" spans="1:2">
      <c r="A519" s="23">
        <v>105172</v>
      </c>
      <c r="B519" s="1" t="s">
        <v>586</v>
      </c>
    </row>
    <row r="520" spans="1:2">
      <c r="A520" s="23">
        <v>105173</v>
      </c>
      <c r="B520" s="1" t="s">
        <v>587</v>
      </c>
    </row>
    <row r="521" spans="1:2">
      <c r="A521" s="23">
        <v>105174</v>
      </c>
      <c r="B521" s="1" t="s">
        <v>588</v>
      </c>
    </row>
    <row r="522" spans="1:2">
      <c r="A522" s="23">
        <v>105175</v>
      </c>
      <c r="B522" s="1" t="s">
        <v>589</v>
      </c>
    </row>
    <row r="523" spans="1:2">
      <c r="A523" s="23">
        <v>105176</v>
      </c>
      <c r="B523" s="1" t="s">
        <v>590</v>
      </c>
    </row>
    <row r="524" spans="1:2">
      <c r="A524" s="23">
        <v>105177</v>
      </c>
      <c r="B524" s="1" t="s">
        <v>591</v>
      </c>
    </row>
    <row r="525" spans="1:2">
      <c r="A525" s="23">
        <v>105178</v>
      </c>
      <c r="B525" s="1" t="s">
        <v>592</v>
      </c>
    </row>
    <row r="526" spans="1:2">
      <c r="A526" s="23">
        <v>105179</v>
      </c>
      <c r="B526" s="1" t="s">
        <v>593</v>
      </c>
    </row>
    <row r="527" spans="1:2">
      <c r="A527" s="23">
        <v>105180</v>
      </c>
      <c r="B527" s="1" t="s">
        <v>594</v>
      </c>
    </row>
    <row r="528" spans="1:2">
      <c r="A528" s="23">
        <v>105181</v>
      </c>
      <c r="B528" s="1" t="s">
        <v>595</v>
      </c>
    </row>
    <row r="529" spans="1:2">
      <c r="A529" s="23">
        <v>105182</v>
      </c>
      <c r="B529" s="1" t="s">
        <v>596</v>
      </c>
    </row>
    <row r="530" spans="1:2">
      <c r="A530" s="23">
        <v>105183</v>
      </c>
      <c r="B530" s="1" t="s">
        <v>597</v>
      </c>
    </row>
    <row r="531" spans="1:2">
      <c r="A531" s="23">
        <v>105184</v>
      </c>
      <c r="B531" s="1" t="s">
        <v>598</v>
      </c>
    </row>
    <row r="532" spans="1:2">
      <c r="A532" s="23">
        <v>105185</v>
      </c>
      <c r="B532" s="1" t="s">
        <v>599</v>
      </c>
    </row>
    <row r="533" spans="1:2">
      <c r="A533" s="23">
        <v>105186</v>
      </c>
      <c r="B533" s="1" t="s">
        <v>600</v>
      </c>
    </row>
    <row r="534" spans="1:2">
      <c r="A534" s="23">
        <v>105187</v>
      </c>
      <c r="B534" s="1" t="s">
        <v>601</v>
      </c>
    </row>
    <row r="535" spans="1:2">
      <c r="A535" s="23">
        <v>105188</v>
      </c>
      <c r="B535" s="1" t="s">
        <v>602</v>
      </c>
    </row>
    <row r="536" spans="1:2">
      <c r="A536" s="23">
        <v>105189</v>
      </c>
      <c r="B536" s="1" t="s">
        <v>603</v>
      </c>
    </row>
    <row r="537" spans="1:2">
      <c r="A537" s="23">
        <v>105190</v>
      </c>
      <c r="B537" s="1" t="s">
        <v>604</v>
      </c>
    </row>
    <row r="538" spans="1:2">
      <c r="A538" s="23">
        <v>105191</v>
      </c>
      <c r="B538" s="1" t="s">
        <v>605</v>
      </c>
    </row>
    <row r="539" spans="1:2">
      <c r="A539" s="23">
        <v>105192</v>
      </c>
      <c r="B539" s="1" t="s">
        <v>606</v>
      </c>
    </row>
    <row r="540" spans="1:2">
      <c r="A540" s="23">
        <v>105193</v>
      </c>
      <c r="B540" s="1" t="s">
        <v>607</v>
      </c>
    </row>
    <row r="541" spans="1:2">
      <c r="A541" s="23">
        <v>105194</v>
      </c>
      <c r="B541" s="1" t="s">
        <v>608</v>
      </c>
    </row>
    <row r="542" spans="1:2">
      <c r="A542" s="23">
        <v>105195</v>
      </c>
      <c r="B542" s="1" t="s">
        <v>609</v>
      </c>
    </row>
    <row r="543" spans="1:2">
      <c r="A543" s="23">
        <v>105196</v>
      </c>
      <c r="B543" s="1" t="s">
        <v>610</v>
      </c>
    </row>
    <row r="544" spans="1:2">
      <c r="A544" s="23">
        <v>105197</v>
      </c>
      <c r="B544" s="1" t="s">
        <v>611</v>
      </c>
    </row>
    <row r="545" spans="1:2">
      <c r="A545" s="23">
        <v>105198</v>
      </c>
      <c r="B545" s="1" t="s">
        <v>612</v>
      </c>
    </row>
    <row r="546" spans="1:2">
      <c r="A546" s="23">
        <v>105199</v>
      </c>
      <c r="B546" s="1" t="s">
        <v>613</v>
      </c>
    </row>
    <row r="547" spans="1:2">
      <c r="A547" s="23">
        <v>105200</v>
      </c>
      <c r="B547" s="1" t="s">
        <v>614</v>
      </c>
    </row>
    <row r="548" spans="1:2">
      <c r="A548" s="23">
        <v>105201</v>
      </c>
      <c r="B548" s="1" t="s">
        <v>615</v>
      </c>
    </row>
    <row r="549" spans="1:2">
      <c r="A549" s="23">
        <v>105202</v>
      </c>
      <c r="B549" s="1" t="s">
        <v>616</v>
      </c>
    </row>
    <row r="550" spans="1:2">
      <c r="A550" s="23">
        <v>105203</v>
      </c>
      <c r="B550" s="1" t="s">
        <v>617</v>
      </c>
    </row>
    <row r="551" spans="1:2">
      <c r="A551" s="23">
        <v>105204</v>
      </c>
      <c r="B551" s="1" t="s">
        <v>618</v>
      </c>
    </row>
    <row r="552" spans="1:2">
      <c r="A552" s="23">
        <v>105205</v>
      </c>
      <c r="B552" s="1" t="s">
        <v>619</v>
      </c>
    </row>
    <row r="553" spans="1:2">
      <c r="A553" s="23">
        <v>105206</v>
      </c>
      <c r="B553" s="1" t="s">
        <v>620</v>
      </c>
    </row>
    <row r="554" spans="1:2">
      <c r="A554" s="23">
        <v>105207</v>
      </c>
      <c r="B554" s="1" t="s">
        <v>621</v>
      </c>
    </row>
    <row r="555" spans="1:2">
      <c r="A555" s="23">
        <v>105208</v>
      </c>
      <c r="B555" s="1" t="s">
        <v>622</v>
      </c>
    </row>
    <row r="556" spans="1:2">
      <c r="A556" s="23">
        <v>105209</v>
      </c>
      <c r="B556" s="1" t="s">
        <v>623</v>
      </c>
    </row>
    <row r="557" spans="1:2">
      <c r="A557" s="23">
        <v>105210</v>
      </c>
      <c r="B557" s="1" t="s">
        <v>624</v>
      </c>
    </row>
    <row r="558" spans="1:2">
      <c r="A558" s="23">
        <v>105211</v>
      </c>
      <c r="B558" s="1" t="s">
        <v>625</v>
      </c>
    </row>
    <row r="559" spans="1:2">
      <c r="A559" s="23">
        <v>105212</v>
      </c>
      <c r="B559" s="1" t="s">
        <v>626</v>
      </c>
    </row>
    <row r="560" spans="1:2">
      <c r="A560" s="23">
        <v>105213</v>
      </c>
      <c r="B560" s="1" t="s">
        <v>627</v>
      </c>
    </row>
    <row r="561" spans="1:2">
      <c r="A561" s="23">
        <v>105214</v>
      </c>
      <c r="B561" s="1" t="s">
        <v>628</v>
      </c>
    </row>
    <row r="562" spans="1:2">
      <c r="A562" s="23">
        <v>105215</v>
      </c>
      <c r="B562" s="1" t="s">
        <v>629</v>
      </c>
    </row>
    <row r="563" spans="1:2">
      <c r="A563" s="23">
        <v>105216</v>
      </c>
      <c r="B563" s="1" t="s">
        <v>630</v>
      </c>
    </row>
    <row r="564" spans="1:2">
      <c r="A564" s="23">
        <v>105217</v>
      </c>
      <c r="B564" s="1" t="s">
        <v>631</v>
      </c>
    </row>
    <row r="565" spans="1:2">
      <c r="A565" s="23">
        <v>105218</v>
      </c>
      <c r="B565" s="1" t="s">
        <v>632</v>
      </c>
    </row>
    <row r="566" spans="1:2">
      <c r="A566" s="23">
        <v>105219</v>
      </c>
      <c r="B566" s="1" t="s">
        <v>633</v>
      </c>
    </row>
    <row r="567" spans="1:2">
      <c r="A567" s="23">
        <v>105220</v>
      </c>
      <c r="B567" s="1" t="s">
        <v>634</v>
      </c>
    </row>
    <row r="568" spans="1:2">
      <c r="A568" s="23">
        <v>105221</v>
      </c>
      <c r="B568" s="1" t="s">
        <v>635</v>
      </c>
    </row>
    <row r="569" spans="1:2">
      <c r="A569" s="23">
        <v>105222</v>
      </c>
      <c r="B569" s="1" t="s">
        <v>636</v>
      </c>
    </row>
    <row r="570" spans="1:2">
      <c r="A570" s="23">
        <v>105223</v>
      </c>
      <c r="B570" s="1" t="s">
        <v>637</v>
      </c>
    </row>
    <row r="571" spans="1:2">
      <c r="A571" s="23">
        <v>105224</v>
      </c>
      <c r="B571" s="1" t="s">
        <v>638</v>
      </c>
    </row>
    <row r="572" spans="1:2">
      <c r="A572" s="23">
        <v>105225</v>
      </c>
      <c r="B572" s="1" t="s">
        <v>639</v>
      </c>
    </row>
    <row r="573" spans="1:2">
      <c r="A573" s="23">
        <v>105226</v>
      </c>
      <c r="B573" s="1" t="s">
        <v>640</v>
      </c>
    </row>
    <row r="574" spans="1:2">
      <c r="A574" s="23">
        <v>105227</v>
      </c>
      <c r="B574" s="1" t="s">
        <v>641</v>
      </c>
    </row>
    <row r="575" spans="1:2">
      <c r="A575" s="23">
        <v>105228</v>
      </c>
      <c r="B575" s="1" t="s">
        <v>642</v>
      </c>
    </row>
    <row r="576" spans="1:2">
      <c r="A576" s="23">
        <v>105229</v>
      </c>
      <c r="B576" s="1" t="s">
        <v>643</v>
      </c>
    </row>
    <row r="577" spans="1:2">
      <c r="A577" s="23">
        <v>105230</v>
      </c>
      <c r="B577" s="1" t="s">
        <v>644</v>
      </c>
    </row>
    <row r="578" spans="1:2">
      <c r="A578" s="23">
        <v>105231</v>
      </c>
      <c r="B578" s="1" t="s">
        <v>645</v>
      </c>
    </row>
    <row r="579" spans="1:2">
      <c r="A579" s="23">
        <v>105232</v>
      </c>
      <c r="B579" s="1" t="s">
        <v>646</v>
      </c>
    </row>
    <row r="580" spans="1:2">
      <c r="A580" s="23">
        <v>105233</v>
      </c>
      <c r="B580" s="1" t="s">
        <v>647</v>
      </c>
    </row>
    <row r="581" spans="1:2">
      <c r="A581" s="23">
        <v>105234</v>
      </c>
      <c r="B581" s="1" t="s">
        <v>648</v>
      </c>
    </row>
    <row r="582" spans="1:2">
      <c r="A582" s="23">
        <v>105235</v>
      </c>
      <c r="B582" s="1" t="s">
        <v>649</v>
      </c>
    </row>
    <row r="583" spans="1:2">
      <c r="A583" s="23">
        <v>105236</v>
      </c>
      <c r="B583" s="1" t="s">
        <v>650</v>
      </c>
    </row>
    <row r="584" spans="1:2">
      <c r="A584" s="23">
        <v>105237</v>
      </c>
      <c r="B584" s="1" t="s">
        <v>651</v>
      </c>
    </row>
    <row r="585" spans="1:2">
      <c r="A585" s="23">
        <v>105238</v>
      </c>
      <c r="B585" s="1" t="s">
        <v>652</v>
      </c>
    </row>
    <row r="586" spans="1:2">
      <c r="A586" s="23">
        <v>105239</v>
      </c>
      <c r="B586" s="1" t="s">
        <v>653</v>
      </c>
    </row>
    <row r="587" spans="1:2">
      <c r="A587" s="23">
        <v>105240</v>
      </c>
      <c r="B587" s="1" t="s">
        <v>654</v>
      </c>
    </row>
    <row r="588" spans="1:2">
      <c r="A588" s="23">
        <v>105241</v>
      </c>
      <c r="B588" s="1" t="s">
        <v>655</v>
      </c>
    </row>
    <row r="589" spans="1:2">
      <c r="A589" s="23">
        <v>105242</v>
      </c>
      <c r="B589" s="1" t="s">
        <v>656</v>
      </c>
    </row>
    <row r="590" spans="1:2">
      <c r="A590" s="23">
        <v>105243</v>
      </c>
      <c r="B590" s="1" t="s">
        <v>657</v>
      </c>
    </row>
    <row r="591" spans="1:2">
      <c r="A591" s="23">
        <v>105244</v>
      </c>
      <c r="B591" s="1" t="s">
        <v>658</v>
      </c>
    </row>
    <row r="592" spans="1:2">
      <c r="A592" s="23">
        <v>105245</v>
      </c>
      <c r="B592" s="1" t="s">
        <v>659</v>
      </c>
    </row>
    <row r="593" spans="1:2">
      <c r="A593" s="23">
        <v>105246</v>
      </c>
      <c r="B593" s="1" t="s">
        <v>660</v>
      </c>
    </row>
    <row r="594" spans="1:2">
      <c r="A594" s="23">
        <v>105247</v>
      </c>
      <c r="B594" s="1" t="s">
        <v>661</v>
      </c>
    </row>
    <row r="595" spans="1:2">
      <c r="A595" s="23">
        <v>105248</v>
      </c>
      <c r="B595" s="1" t="s">
        <v>662</v>
      </c>
    </row>
    <row r="596" spans="1:2">
      <c r="A596" s="23">
        <v>105249</v>
      </c>
      <c r="B596" s="1" t="s">
        <v>663</v>
      </c>
    </row>
    <row r="597" spans="1:2">
      <c r="A597" s="23">
        <v>105250</v>
      </c>
      <c r="B597" s="1" t="s">
        <v>664</v>
      </c>
    </row>
    <row r="598" spans="1:2">
      <c r="A598" s="23">
        <v>105251</v>
      </c>
      <c r="B598" s="1" t="s">
        <v>665</v>
      </c>
    </row>
    <row r="599" spans="1:2">
      <c r="A599" s="23">
        <v>105252</v>
      </c>
      <c r="B599" s="1" t="s">
        <v>666</v>
      </c>
    </row>
    <row r="600" spans="1:2">
      <c r="A600" s="23">
        <v>105253</v>
      </c>
      <c r="B600" s="1" t="s">
        <v>667</v>
      </c>
    </row>
    <row r="601" spans="1:2">
      <c r="A601" s="23">
        <v>105254</v>
      </c>
      <c r="B601" s="1" t="s">
        <v>668</v>
      </c>
    </row>
    <row r="602" spans="1:2">
      <c r="A602" s="23">
        <v>105255</v>
      </c>
      <c r="B602" s="1" t="s">
        <v>669</v>
      </c>
    </row>
    <row r="603" spans="1:2">
      <c r="A603" s="23">
        <v>105256</v>
      </c>
      <c r="B603" s="1" t="s">
        <v>670</v>
      </c>
    </row>
    <row r="604" spans="1:2">
      <c r="A604" s="23">
        <v>105257</v>
      </c>
      <c r="B604" s="1" t="s">
        <v>671</v>
      </c>
    </row>
    <row r="605" spans="1:2">
      <c r="A605" s="23">
        <v>105258</v>
      </c>
      <c r="B605" s="1" t="s">
        <v>672</v>
      </c>
    </row>
    <row r="606" spans="1:2">
      <c r="A606" s="23">
        <v>105259</v>
      </c>
      <c r="B606" s="1" t="s">
        <v>673</v>
      </c>
    </row>
    <row r="607" spans="1:2">
      <c r="A607" s="23">
        <v>105260</v>
      </c>
      <c r="B607" s="1" t="s">
        <v>674</v>
      </c>
    </row>
    <row r="608" spans="1:2">
      <c r="A608" s="23">
        <v>105261</v>
      </c>
      <c r="B608" s="1" t="s">
        <v>675</v>
      </c>
    </row>
    <row r="609" spans="1:2">
      <c r="A609" s="23">
        <v>105262</v>
      </c>
      <c r="B609" s="1" t="s">
        <v>676</v>
      </c>
    </row>
    <row r="610" spans="1:2">
      <c r="A610" s="23">
        <v>105263</v>
      </c>
      <c r="B610" s="1" t="s">
        <v>677</v>
      </c>
    </row>
    <row r="611" spans="1:2">
      <c r="A611" s="23">
        <v>105264</v>
      </c>
      <c r="B611" s="1" t="s">
        <v>678</v>
      </c>
    </row>
    <row r="612" spans="1:2">
      <c r="A612" s="23">
        <v>105265</v>
      </c>
      <c r="B612" s="1" t="s">
        <v>679</v>
      </c>
    </row>
    <row r="613" spans="1:2">
      <c r="A613" s="23">
        <v>105266</v>
      </c>
      <c r="B613" s="1" t="s">
        <v>680</v>
      </c>
    </row>
    <row r="614" spans="1:2">
      <c r="A614" s="23">
        <v>105267</v>
      </c>
      <c r="B614" s="1" t="s">
        <v>681</v>
      </c>
    </row>
    <row r="615" spans="1:2">
      <c r="A615" s="23">
        <v>105268</v>
      </c>
      <c r="B615" s="1" t="s">
        <v>682</v>
      </c>
    </row>
    <row r="616" spans="1:2">
      <c r="A616" s="23">
        <v>105269</v>
      </c>
      <c r="B616" s="1" t="s">
        <v>683</v>
      </c>
    </row>
    <row r="617" spans="1:2">
      <c r="A617" s="23">
        <v>105270</v>
      </c>
      <c r="B617" s="1" t="s">
        <v>684</v>
      </c>
    </row>
    <row r="618" spans="1:2">
      <c r="A618" s="23">
        <v>105271</v>
      </c>
      <c r="B618" s="1" t="s">
        <v>685</v>
      </c>
    </row>
    <row r="619" spans="1:2">
      <c r="A619" s="23">
        <v>105272</v>
      </c>
      <c r="B619" s="1" t="s">
        <v>686</v>
      </c>
    </row>
    <row r="620" spans="1:2">
      <c r="A620" s="23">
        <v>105273</v>
      </c>
      <c r="B620" s="1" t="s">
        <v>687</v>
      </c>
    </row>
    <row r="621" spans="1:2">
      <c r="A621" s="23">
        <v>105274</v>
      </c>
      <c r="B621" s="1" t="s">
        <v>688</v>
      </c>
    </row>
    <row r="622" spans="1:2">
      <c r="A622" s="23">
        <v>105275</v>
      </c>
      <c r="B622" s="1" t="s">
        <v>689</v>
      </c>
    </row>
    <row r="623" spans="1:2">
      <c r="A623" s="23">
        <v>105276</v>
      </c>
      <c r="B623" s="1" t="s">
        <v>690</v>
      </c>
    </row>
    <row r="624" spans="1:2">
      <c r="A624" s="23">
        <v>105277</v>
      </c>
      <c r="B624" s="1" t="s">
        <v>691</v>
      </c>
    </row>
    <row r="625" spans="1:2">
      <c r="A625" s="23">
        <v>105278</v>
      </c>
      <c r="B625" s="1" t="s">
        <v>692</v>
      </c>
    </row>
    <row r="626" spans="1:2">
      <c r="A626" s="23">
        <v>105279</v>
      </c>
      <c r="B626" s="1" t="s">
        <v>693</v>
      </c>
    </row>
    <row r="627" spans="1:2">
      <c r="A627" s="23">
        <v>105280</v>
      </c>
      <c r="B627" s="1" t="s">
        <v>694</v>
      </c>
    </row>
    <row r="628" spans="1:2">
      <c r="A628" s="23">
        <v>105281</v>
      </c>
      <c r="B628" s="1" t="s">
        <v>695</v>
      </c>
    </row>
    <row r="629" spans="1:2">
      <c r="A629" s="23">
        <v>105282</v>
      </c>
      <c r="B629" s="1" t="s">
        <v>696</v>
      </c>
    </row>
    <row r="630" spans="1:2">
      <c r="A630" s="23">
        <v>105283</v>
      </c>
      <c r="B630" s="1" t="s">
        <v>697</v>
      </c>
    </row>
    <row r="631" spans="1:2">
      <c r="A631" s="23">
        <v>105284</v>
      </c>
      <c r="B631" s="1" t="s">
        <v>698</v>
      </c>
    </row>
    <row r="632" spans="1:2">
      <c r="A632" s="23">
        <v>105285</v>
      </c>
      <c r="B632" s="1" t="s">
        <v>699</v>
      </c>
    </row>
    <row r="633" spans="1:2">
      <c r="A633" s="23">
        <v>105286</v>
      </c>
      <c r="B633" s="1" t="s">
        <v>700</v>
      </c>
    </row>
    <row r="634" spans="1:2">
      <c r="A634" s="23">
        <v>105287</v>
      </c>
      <c r="B634" s="1" t="s">
        <v>701</v>
      </c>
    </row>
    <row r="635" spans="1:2">
      <c r="A635" s="23">
        <v>105288</v>
      </c>
      <c r="B635" s="1" t="s">
        <v>702</v>
      </c>
    </row>
    <row r="636" spans="1:2">
      <c r="A636" s="23">
        <v>105289</v>
      </c>
      <c r="B636" s="1" t="s">
        <v>703</v>
      </c>
    </row>
    <row r="637" spans="1:2">
      <c r="A637" s="23">
        <v>105290</v>
      </c>
      <c r="B637" s="1" t="s">
        <v>704</v>
      </c>
    </row>
    <row r="638" spans="1:2">
      <c r="A638" s="23">
        <v>105291</v>
      </c>
      <c r="B638" s="1" t="s">
        <v>705</v>
      </c>
    </row>
    <row r="639" spans="1:2">
      <c r="A639" s="23">
        <v>105292</v>
      </c>
      <c r="B639" s="1" t="s">
        <v>706</v>
      </c>
    </row>
    <row r="640" spans="1:2">
      <c r="A640" s="23">
        <v>105293</v>
      </c>
      <c r="B640" s="1" t="s">
        <v>707</v>
      </c>
    </row>
    <row r="641" spans="1:2">
      <c r="A641" s="23">
        <v>105294</v>
      </c>
      <c r="B641" s="1" t="s">
        <v>708</v>
      </c>
    </row>
    <row r="642" spans="1:2">
      <c r="A642" s="23">
        <v>105295</v>
      </c>
      <c r="B642" s="1" t="s">
        <v>709</v>
      </c>
    </row>
    <row r="643" spans="1:2">
      <c r="A643" s="23">
        <v>105296</v>
      </c>
      <c r="B643" s="1" t="s">
        <v>710</v>
      </c>
    </row>
    <row r="644" spans="1:2">
      <c r="A644" s="23">
        <v>105297</v>
      </c>
      <c r="B644" s="1" t="s">
        <v>711</v>
      </c>
    </row>
    <row r="645" spans="1:2">
      <c r="A645" s="23">
        <v>105298</v>
      </c>
      <c r="B645" s="1" t="s">
        <v>712</v>
      </c>
    </row>
    <row r="646" spans="1:2">
      <c r="A646" s="23">
        <v>105299</v>
      </c>
      <c r="B646" s="1" t="s">
        <v>713</v>
      </c>
    </row>
    <row r="647" spans="1:2">
      <c r="A647" s="23">
        <v>105300</v>
      </c>
      <c r="B647" s="1" t="s">
        <v>714</v>
      </c>
    </row>
    <row r="648" spans="1:2">
      <c r="A648" s="23">
        <v>105301</v>
      </c>
      <c r="B648" s="1" t="s">
        <v>715</v>
      </c>
    </row>
    <row r="649" spans="1:2">
      <c r="A649" s="23">
        <v>105302</v>
      </c>
      <c r="B649" s="1" t="s">
        <v>716</v>
      </c>
    </row>
    <row r="650" spans="1:2">
      <c r="A650" s="23">
        <v>105303</v>
      </c>
      <c r="B650" s="1" t="s">
        <v>717</v>
      </c>
    </row>
    <row r="651" spans="1:2">
      <c r="A651" s="23">
        <v>105304</v>
      </c>
      <c r="B651" s="1" t="s">
        <v>718</v>
      </c>
    </row>
    <row r="652" spans="1:2">
      <c r="A652" s="23">
        <v>105305</v>
      </c>
      <c r="B652" s="1" t="s">
        <v>719</v>
      </c>
    </row>
    <row r="653" spans="1:2">
      <c r="A653" s="23">
        <v>105306</v>
      </c>
      <c r="B653" s="1" t="s">
        <v>720</v>
      </c>
    </row>
    <row r="654" spans="1:2">
      <c r="A654" s="23">
        <v>105307</v>
      </c>
      <c r="B654" s="1" t="s">
        <v>721</v>
      </c>
    </row>
    <row r="655" spans="1:2">
      <c r="A655" s="23">
        <v>105308</v>
      </c>
      <c r="B655" s="1" t="s">
        <v>722</v>
      </c>
    </row>
    <row r="656" spans="1:2">
      <c r="A656" s="23">
        <v>105309</v>
      </c>
      <c r="B656" s="1" t="s">
        <v>723</v>
      </c>
    </row>
    <row r="657" spans="1:2">
      <c r="A657" s="23">
        <v>105310</v>
      </c>
      <c r="B657" s="1" t="s">
        <v>724</v>
      </c>
    </row>
    <row r="658" spans="1:2">
      <c r="A658" s="23">
        <v>105311</v>
      </c>
      <c r="B658" s="1" t="s">
        <v>725</v>
      </c>
    </row>
    <row r="659" spans="1:2">
      <c r="A659" s="23">
        <v>105312</v>
      </c>
      <c r="B659" s="1" t="s">
        <v>726</v>
      </c>
    </row>
    <row r="660" spans="1:2">
      <c r="A660" s="23">
        <v>105313</v>
      </c>
      <c r="B660" s="1" t="s">
        <v>727</v>
      </c>
    </row>
    <row r="661" spans="1:2">
      <c r="A661" s="23">
        <v>105314</v>
      </c>
      <c r="B661" s="1" t="s">
        <v>728</v>
      </c>
    </row>
    <row r="662" spans="1:2">
      <c r="A662" s="23">
        <v>105315</v>
      </c>
      <c r="B662" s="1" t="s">
        <v>729</v>
      </c>
    </row>
    <row r="663" spans="1:2">
      <c r="A663" s="23">
        <v>105316</v>
      </c>
      <c r="B663" s="1" t="s">
        <v>730</v>
      </c>
    </row>
    <row r="664" spans="1:2">
      <c r="A664" s="23">
        <v>105317</v>
      </c>
      <c r="B664" s="1" t="s">
        <v>731</v>
      </c>
    </row>
    <row r="665" spans="1:2">
      <c r="A665" s="23">
        <v>105318</v>
      </c>
      <c r="B665" s="1" t="s">
        <v>732</v>
      </c>
    </row>
    <row r="666" spans="1:2">
      <c r="A666" s="23">
        <v>105319</v>
      </c>
      <c r="B666" s="1" t="s">
        <v>733</v>
      </c>
    </row>
    <row r="667" spans="1:2">
      <c r="A667" s="23">
        <v>105320</v>
      </c>
      <c r="B667" s="1" t="s">
        <v>734</v>
      </c>
    </row>
    <row r="668" spans="1:2">
      <c r="A668" s="23">
        <v>105321</v>
      </c>
      <c r="B668" s="1" t="s">
        <v>735</v>
      </c>
    </row>
    <row r="669" spans="1:2">
      <c r="A669" s="23">
        <v>105322</v>
      </c>
      <c r="B669" s="1" t="s">
        <v>736</v>
      </c>
    </row>
    <row r="670" spans="1:2">
      <c r="A670" s="23">
        <v>105323</v>
      </c>
      <c r="B670" s="1" t="s">
        <v>737</v>
      </c>
    </row>
    <row r="671" spans="1:2">
      <c r="A671" s="23">
        <v>105324</v>
      </c>
      <c r="B671" s="1" t="s">
        <v>738</v>
      </c>
    </row>
    <row r="672" spans="1:2">
      <c r="A672" s="23">
        <v>105325</v>
      </c>
      <c r="B672" s="1" t="s">
        <v>739</v>
      </c>
    </row>
    <row r="673" spans="1:2">
      <c r="A673" s="23">
        <v>105326</v>
      </c>
      <c r="B673" s="1" t="s">
        <v>740</v>
      </c>
    </row>
    <row r="674" spans="1:2">
      <c r="A674" s="23">
        <v>105327</v>
      </c>
      <c r="B674" s="1" t="s">
        <v>741</v>
      </c>
    </row>
    <row r="675" spans="1:2">
      <c r="A675" s="23">
        <v>105328</v>
      </c>
      <c r="B675" s="1" t="s">
        <v>742</v>
      </c>
    </row>
    <row r="676" spans="1:2">
      <c r="A676" s="23">
        <v>105329</v>
      </c>
      <c r="B676" s="1" t="s">
        <v>743</v>
      </c>
    </row>
    <row r="677" spans="1:2">
      <c r="A677" s="23">
        <v>105330</v>
      </c>
      <c r="B677" s="1" t="s">
        <v>744</v>
      </c>
    </row>
    <row r="678" spans="1:2">
      <c r="A678" s="23">
        <v>105331</v>
      </c>
      <c r="B678" s="1" t="s">
        <v>745</v>
      </c>
    </row>
    <row r="679" spans="1:2">
      <c r="A679" s="23">
        <v>105332</v>
      </c>
      <c r="B679" s="1" t="s">
        <v>746</v>
      </c>
    </row>
    <row r="680" spans="1:2">
      <c r="A680" s="23">
        <v>105333</v>
      </c>
      <c r="B680" s="1" t="s">
        <v>747</v>
      </c>
    </row>
    <row r="681" spans="1:2">
      <c r="A681" s="23">
        <v>105334</v>
      </c>
      <c r="B681" s="1" t="s">
        <v>748</v>
      </c>
    </row>
    <row r="682" spans="1:2">
      <c r="A682" s="23">
        <v>105335</v>
      </c>
      <c r="B682" s="1" t="s">
        <v>749</v>
      </c>
    </row>
    <row r="683" spans="1:2">
      <c r="A683" s="23">
        <v>105336</v>
      </c>
      <c r="B683" s="1" t="s">
        <v>750</v>
      </c>
    </row>
    <row r="684" spans="1:2">
      <c r="A684" s="23">
        <v>105337</v>
      </c>
      <c r="B684" s="1" t="s">
        <v>751</v>
      </c>
    </row>
    <row r="685" spans="1:2">
      <c r="A685" s="23">
        <v>105338</v>
      </c>
      <c r="B685" s="1" t="s">
        <v>752</v>
      </c>
    </row>
    <row r="686" spans="1:2">
      <c r="A686" s="23">
        <v>105339</v>
      </c>
      <c r="B686" s="1" t="s">
        <v>753</v>
      </c>
    </row>
    <row r="687" spans="1:2">
      <c r="A687" s="23">
        <v>105340</v>
      </c>
      <c r="B687" s="1" t="s">
        <v>754</v>
      </c>
    </row>
    <row r="688" spans="1:2">
      <c r="A688" s="23">
        <v>105341</v>
      </c>
      <c r="B688" s="1" t="s">
        <v>755</v>
      </c>
    </row>
    <row r="689" spans="1:2">
      <c r="A689" s="23">
        <v>105342</v>
      </c>
      <c r="B689" s="1" t="s">
        <v>756</v>
      </c>
    </row>
    <row r="690" spans="1:2">
      <c r="A690" s="23">
        <v>105343</v>
      </c>
      <c r="B690" s="1" t="s">
        <v>757</v>
      </c>
    </row>
    <row r="691" spans="1:2">
      <c r="A691" s="23">
        <v>105344</v>
      </c>
      <c r="B691" s="1" t="s">
        <v>758</v>
      </c>
    </row>
    <row r="692" spans="1:2">
      <c r="A692" s="23">
        <v>105345</v>
      </c>
      <c r="B692" s="1" t="s">
        <v>759</v>
      </c>
    </row>
    <row r="693" spans="1:2">
      <c r="A693" s="23">
        <v>105346</v>
      </c>
      <c r="B693" s="1" t="s">
        <v>760</v>
      </c>
    </row>
    <row r="694" spans="1:2">
      <c r="A694" s="23">
        <v>105347</v>
      </c>
      <c r="B694" s="1" t="s">
        <v>761</v>
      </c>
    </row>
    <row r="695" spans="1:2">
      <c r="A695" s="23">
        <v>105348</v>
      </c>
      <c r="B695" s="1" t="s">
        <v>762</v>
      </c>
    </row>
    <row r="696" spans="1:2">
      <c r="A696" s="23">
        <v>105349</v>
      </c>
      <c r="B696" s="1" t="s">
        <v>763</v>
      </c>
    </row>
    <row r="697" spans="1:2">
      <c r="A697" s="23">
        <v>105350</v>
      </c>
      <c r="B697" s="1" t="s">
        <v>764</v>
      </c>
    </row>
    <row r="698" spans="1:2">
      <c r="A698" s="23">
        <v>105351</v>
      </c>
      <c r="B698" s="1" t="s">
        <v>765</v>
      </c>
    </row>
    <row r="699" spans="1:2">
      <c r="A699" s="23">
        <v>105352</v>
      </c>
      <c r="B699" s="1" t="s">
        <v>766</v>
      </c>
    </row>
    <row r="700" spans="1:2">
      <c r="A700" s="23">
        <v>105353</v>
      </c>
      <c r="B700" s="1" t="s">
        <v>767</v>
      </c>
    </row>
    <row r="701" spans="1:2">
      <c r="A701" s="23">
        <v>105354</v>
      </c>
      <c r="B701" s="1" t="s">
        <v>768</v>
      </c>
    </row>
    <row r="702" spans="1:2">
      <c r="A702" s="23">
        <v>105355</v>
      </c>
      <c r="B702" s="1" t="s">
        <v>769</v>
      </c>
    </row>
    <row r="703" spans="1:2">
      <c r="A703" s="23">
        <v>105356</v>
      </c>
      <c r="B703" s="1" t="s">
        <v>770</v>
      </c>
    </row>
    <row r="704" spans="1:2">
      <c r="A704" s="23">
        <v>105357</v>
      </c>
      <c r="B704" s="1" t="s">
        <v>771</v>
      </c>
    </row>
    <row r="705" spans="1:2">
      <c r="A705" s="23">
        <v>105358</v>
      </c>
      <c r="B705" s="1" t="s">
        <v>772</v>
      </c>
    </row>
    <row r="706" spans="1:2">
      <c r="A706" s="23">
        <v>105359</v>
      </c>
      <c r="B706" s="1" t="s">
        <v>773</v>
      </c>
    </row>
    <row r="707" spans="1:2">
      <c r="A707" s="23">
        <v>105360</v>
      </c>
      <c r="B707" s="1" t="s">
        <v>774</v>
      </c>
    </row>
    <row r="708" spans="1:2">
      <c r="A708" s="23">
        <v>105361</v>
      </c>
      <c r="B708" s="1" t="s">
        <v>775</v>
      </c>
    </row>
    <row r="709" spans="1:2">
      <c r="A709" s="23">
        <v>105362</v>
      </c>
      <c r="B709" s="1" t="s">
        <v>776</v>
      </c>
    </row>
    <row r="710" spans="1:2">
      <c r="A710" s="23">
        <v>105363</v>
      </c>
      <c r="B710" s="1" t="s">
        <v>777</v>
      </c>
    </row>
    <row r="711" spans="1:2">
      <c r="A711" s="23">
        <v>105364</v>
      </c>
      <c r="B711" s="1" t="s">
        <v>778</v>
      </c>
    </row>
    <row r="712" spans="1:2">
      <c r="A712" s="23">
        <v>105365</v>
      </c>
      <c r="B712" s="1" t="s">
        <v>779</v>
      </c>
    </row>
    <row r="713" spans="1:2">
      <c r="A713" s="23">
        <v>105366</v>
      </c>
      <c r="B713" s="1" t="s">
        <v>780</v>
      </c>
    </row>
    <row r="714" spans="1:2">
      <c r="A714" s="23">
        <v>105367</v>
      </c>
      <c r="B714" s="1" t="s">
        <v>781</v>
      </c>
    </row>
    <row r="715" spans="1:2">
      <c r="A715" s="23">
        <v>105368</v>
      </c>
      <c r="B715" s="1" t="s">
        <v>782</v>
      </c>
    </row>
    <row r="716" spans="1:2">
      <c r="A716" s="23">
        <v>105369</v>
      </c>
      <c r="B716" s="1" t="s">
        <v>783</v>
      </c>
    </row>
    <row r="717" spans="1:2">
      <c r="A717" s="23">
        <v>105370</v>
      </c>
      <c r="B717" s="1" t="s">
        <v>784</v>
      </c>
    </row>
    <row r="718" spans="1:2">
      <c r="A718" s="23">
        <v>105371</v>
      </c>
      <c r="B718" s="1" t="s">
        <v>785</v>
      </c>
    </row>
    <row r="719" spans="1:2">
      <c r="A719" s="23">
        <v>105372</v>
      </c>
      <c r="B719" s="1" t="s">
        <v>786</v>
      </c>
    </row>
    <row r="720" spans="1:2">
      <c r="A720" s="23">
        <v>105373</v>
      </c>
      <c r="B720" s="1" t="s">
        <v>787</v>
      </c>
    </row>
    <row r="721" spans="1:2">
      <c r="A721" s="23">
        <v>105374</v>
      </c>
      <c r="B721" s="1" t="s">
        <v>788</v>
      </c>
    </row>
    <row r="722" spans="1:2">
      <c r="A722" s="23">
        <v>105375</v>
      </c>
      <c r="B722" s="1" t="s">
        <v>789</v>
      </c>
    </row>
    <row r="723" spans="1:2">
      <c r="A723" s="23">
        <v>105376</v>
      </c>
      <c r="B723" s="1" t="s">
        <v>790</v>
      </c>
    </row>
    <row r="724" spans="1:2">
      <c r="A724" s="23">
        <v>105377</v>
      </c>
      <c r="B724" s="1" t="s">
        <v>791</v>
      </c>
    </row>
    <row r="725" spans="1:2">
      <c r="A725" s="23">
        <v>105378</v>
      </c>
      <c r="B725" s="1" t="s">
        <v>792</v>
      </c>
    </row>
    <row r="726" spans="1:2">
      <c r="A726" s="23">
        <v>105379</v>
      </c>
      <c r="B726" s="1" t="s">
        <v>793</v>
      </c>
    </row>
    <row r="727" spans="1:2">
      <c r="A727" s="23">
        <v>105380</v>
      </c>
      <c r="B727" s="1" t="s">
        <v>794</v>
      </c>
    </row>
    <row r="728" spans="1:2">
      <c r="A728" s="23">
        <v>105381</v>
      </c>
      <c r="B728" s="1" t="s">
        <v>795</v>
      </c>
    </row>
    <row r="729" spans="1:2">
      <c r="A729" s="23">
        <v>105382</v>
      </c>
      <c r="B729" s="1" t="s">
        <v>796</v>
      </c>
    </row>
    <row r="730" spans="1:2">
      <c r="A730" s="23">
        <v>105383</v>
      </c>
      <c r="B730" s="1" t="s">
        <v>797</v>
      </c>
    </row>
    <row r="731" spans="1:2">
      <c r="A731" s="23">
        <v>105384</v>
      </c>
      <c r="B731" s="1" t="s">
        <v>798</v>
      </c>
    </row>
    <row r="732" spans="1:2">
      <c r="A732" s="23">
        <v>105385</v>
      </c>
      <c r="B732" s="1" t="s">
        <v>799</v>
      </c>
    </row>
    <row r="733" spans="1:2">
      <c r="A733" s="23">
        <v>105386</v>
      </c>
      <c r="B733" s="1" t="s">
        <v>800</v>
      </c>
    </row>
    <row r="734" spans="1:2">
      <c r="A734" s="23">
        <v>105387</v>
      </c>
      <c r="B734" s="1" t="s">
        <v>801</v>
      </c>
    </row>
    <row r="735" spans="1:2">
      <c r="A735" s="23">
        <v>105388</v>
      </c>
      <c r="B735" s="1" t="s">
        <v>802</v>
      </c>
    </row>
    <row r="736" spans="1:2">
      <c r="A736" s="23">
        <v>105389</v>
      </c>
      <c r="B736" s="1" t="s">
        <v>803</v>
      </c>
    </row>
    <row r="737" spans="1:2">
      <c r="A737" s="23">
        <v>105390</v>
      </c>
      <c r="B737" s="1" t="s">
        <v>804</v>
      </c>
    </row>
    <row r="738" spans="1:2">
      <c r="A738" s="23">
        <v>105391</v>
      </c>
      <c r="B738" s="1" t="s">
        <v>805</v>
      </c>
    </row>
    <row r="739" spans="1:2">
      <c r="A739" s="23">
        <v>105392</v>
      </c>
      <c r="B739" s="1" t="s">
        <v>806</v>
      </c>
    </row>
    <row r="740" spans="1:2">
      <c r="A740" s="23">
        <v>105393</v>
      </c>
      <c r="B740" s="1" t="s">
        <v>807</v>
      </c>
    </row>
    <row r="741" spans="1:2">
      <c r="A741" s="23">
        <v>105394</v>
      </c>
      <c r="B741" s="1" t="s">
        <v>808</v>
      </c>
    </row>
    <row r="742" spans="1:2">
      <c r="A742" s="23">
        <v>105395</v>
      </c>
      <c r="B742" s="1" t="s">
        <v>809</v>
      </c>
    </row>
    <row r="743" spans="1:2">
      <c r="A743" s="23">
        <v>105396</v>
      </c>
      <c r="B743" s="1" t="s">
        <v>810</v>
      </c>
    </row>
    <row r="744" spans="1:2">
      <c r="A744" s="23">
        <v>105397</v>
      </c>
      <c r="B744" s="1" t="s">
        <v>811</v>
      </c>
    </row>
    <row r="745" spans="1:2">
      <c r="A745" s="23">
        <v>105398</v>
      </c>
      <c r="B745" s="1" t="s">
        <v>812</v>
      </c>
    </row>
    <row r="746" spans="1:2">
      <c r="A746" s="23">
        <v>105399</v>
      </c>
      <c r="B746" s="1" t="s">
        <v>813</v>
      </c>
    </row>
    <row r="747" spans="1:2">
      <c r="A747" s="23">
        <v>105400</v>
      </c>
      <c r="B747" s="1" t="s">
        <v>814</v>
      </c>
    </row>
    <row r="748" spans="1:2">
      <c r="A748" s="23">
        <v>105401</v>
      </c>
      <c r="B748" s="1" t="s">
        <v>815</v>
      </c>
    </row>
    <row r="749" spans="1:2">
      <c r="A749" s="23">
        <v>105402</v>
      </c>
      <c r="B749" s="1" t="s">
        <v>816</v>
      </c>
    </row>
    <row r="750" spans="1:2">
      <c r="A750" s="23">
        <v>105403</v>
      </c>
      <c r="B750" s="1" t="s">
        <v>817</v>
      </c>
    </row>
    <row r="751" spans="1:2">
      <c r="A751" s="23">
        <v>105404</v>
      </c>
      <c r="B751" s="1" t="s">
        <v>818</v>
      </c>
    </row>
    <row r="752" spans="1:2">
      <c r="A752" s="23">
        <v>105405</v>
      </c>
      <c r="B752" s="1" t="s">
        <v>819</v>
      </c>
    </row>
    <row r="753" spans="1:2">
      <c r="A753" s="23">
        <v>105406</v>
      </c>
      <c r="B753" s="1" t="s">
        <v>820</v>
      </c>
    </row>
    <row r="754" spans="1:2">
      <c r="A754" s="23">
        <v>105407</v>
      </c>
      <c r="B754" s="1" t="s">
        <v>821</v>
      </c>
    </row>
    <row r="755" spans="1:2">
      <c r="A755" s="23">
        <v>105408</v>
      </c>
      <c r="B755" s="1" t="s">
        <v>822</v>
      </c>
    </row>
    <row r="756" spans="1:2">
      <c r="A756" s="23">
        <v>105409</v>
      </c>
      <c r="B756" s="1" t="s">
        <v>823</v>
      </c>
    </row>
    <row r="757" spans="1:2">
      <c r="A757" s="23">
        <v>105410</v>
      </c>
      <c r="B757" s="1" t="s">
        <v>824</v>
      </c>
    </row>
    <row r="758" spans="1:2">
      <c r="A758" s="23">
        <v>105411</v>
      </c>
      <c r="B758" s="1" t="s">
        <v>825</v>
      </c>
    </row>
    <row r="759" spans="1:2">
      <c r="A759" s="23">
        <v>105412</v>
      </c>
      <c r="B759" s="1" t="s">
        <v>826</v>
      </c>
    </row>
    <row r="760" spans="1:2">
      <c r="A760" s="23">
        <v>105413</v>
      </c>
      <c r="B760" s="1" t="s">
        <v>827</v>
      </c>
    </row>
    <row r="761" spans="1:2">
      <c r="A761" s="23">
        <v>105414</v>
      </c>
      <c r="B761" s="1" t="s">
        <v>828</v>
      </c>
    </row>
    <row r="762" spans="1:2">
      <c r="A762" s="23">
        <v>105415</v>
      </c>
      <c r="B762" s="1" t="s">
        <v>829</v>
      </c>
    </row>
    <row r="763" spans="1:2">
      <c r="A763" s="23">
        <v>105416</v>
      </c>
      <c r="B763" s="1" t="s">
        <v>830</v>
      </c>
    </row>
    <row r="764" spans="1:2">
      <c r="A764" s="23">
        <v>105417</v>
      </c>
      <c r="B764" s="1" t="s">
        <v>831</v>
      </c>
    </row>
    <row r="765" spans="1:2">
      <c r="A765" s="23">
        <v>105418</v>
      </c>
      <c r="B765" s="1" t="s">
        <v>832</v>
      </c>
    </row>
    <row r="766" spans="1:2">
      <c r="A766" s="23">
        <v>105419</v>
      </c>
      <c r="B766" s="1" t="s">
        <v>833</v>
      </c>
    </row>
    <row r="767" spans="1:2">
      <c r="A767" s="23">
        <v>105420</v>
      </c>
      <c r="B767" s="1" t="s">
        <v>834</v>
      </c>
    </row>
    <row r="768" spans="1:2">
      <c r="A768" s="23">
        <v>105421</v>
      </c>
      <c r="B768" s="1" t="s">
        <v>835</v>
      </c>
    </row>
    <row r="769" spans="1:2">
      <c r="A769" s="23">
        <v>105422</v>
      </c>
      <c r="B769" s="1" t="s">
        <v>836</v>
      </c>
    </row>
    <row r="770" spans="1:2">
      <c r="A770" s="23">
        <v>105423</v>
      </c>
      <c r="B770" s="1" t="s">
        <v>837</v>
      </c>
    </row>
    <row r="771" spans="1:2">
      <c r="A771" s="23">
        <v>105424</v>
      </c>
      <c r="B771" s="1" t="s">
        <v>838</v>
      </c>
    </row>
    <row r="772" spans="1:2">
      <c r="A772" s="23">
        <v>105425</v>
      </c>
      <c r="B772" s="1" t="s">
        <v>839</v>
      </c>
    </row>
    <row r="773" spans="1:2">
      <c r="A773" s="23">
        <v>105426</v>
      </c>
      <c r="B773" s="1" t="s">
        <v>840</v>
      </c>
    </row>
    <row r="774" spans="1:2">
      <c r="A774" s="23">
        <v>105427</v>
      </c>
      <c r="B774" s="1" t="s">
        <v>841</v>
      </c>
    </row>
    <row r="775" spans="1:2">
      <c r="A775" s="23">
        <v>105428</v>
      </c>
      <c r="B775" s="1" t="s">
        <v>842</v>
      </c>
    </row>
    <row r="776" spans="1:2">
      <c r="A776" s="23">
        <v>105429</v>
      </c>
      <c r="B776" s="1" t="s">
        <v>843</v>
      </c>
    </row>
    <row r="777" spans="1:2">
      <c r="A777" s="23">
        <v>105430</v>
      </c>
      <c r="B777" s="1" t="s">
        <v>844</v>
      </c>
    </row>
    <row r="778" spans="1:2">
      <c r="A778" s="23">
        <v>105431</v>
      </c>
      <c r="B778" s="1" t="s">
        <v>845</v>
      </c>
    </row>
    <row r="779" spans="1:2">
      <c r="A779" s="23">
        <v>105432</v>
      </c>
      <c r="B779" s="1" t="s">
        <v>846</v>
      </c>
    </row>
    <row r="780" spans="1:2">
      <c r="A780" s="23">
        <v>105433</v>
      </c>
      <c r="B780" s="1" t="s">
        <v>847</v>
      </c>
    </row>
    <row r="781" spans="1:2">
      <c r="A781" s="23">
        <v>105434</v>
      </c>
      <c r="B781" s="1" t="s">
        <v>848</v>
      </c>
    </row>
    <row r="782" spans="1:2">
      <c r="A782" s="23">
        <v>105435</v>
      </c>
      <c r="B782" s="1" t="s">
        <v>849</v>
      </c>
    </row>
    <row r="783" spans="1:2">
      <c r="A783" s="23">
        <v>105436</v>
      </c>
      <c r="B783" s="1" t="s">
        <v>850</v>
      </c>
    </row>
    <row r="784" spans="1:2">
      <c r="A784" s="23">
        <v>105437</v>
      </c>
      <c r="B784" s="1" t="s">
        <v>851</v>
      </c>
    </row>
    <row r="785" spans="1:2">
      <c r="A785" s="23">
        <v>105438</v>
      </c>
      <c r="B785" s="1" t="s">
        <v>852</v>
      </c>
    </row>
    <row r="786" spans="1:2">
      <c r="A786" s="23">
        <v>105439</v>
      </c>
      <c r="B786" s="1" t="s">
        <v>853</v>
      </c>
    </row>
    <row r="787" spans="1:2">
      <c r="A787" s="23">
        <v>105440</v>
      </c>
      <c r="B787" s="1" t="s">
        <v>854</v>
      </c>
    </row>
    <row r="788" spans="1:2">
      <c r="A788" s="23">
        <v>105441</v>
      </c>
      <c r="B788" s="1" t="s">
        <v>855</v>
      </c>
    </row>
    <row r="789" spans="1:2">
      <c r="A789" s="23">
        <v>105442</v>
      </c>
      <c r="B789" s="1" t="s">
        <v>856</v>
      </c>
    </row>
    <row r="790" spans="1:2">
      <c r="A790" s="23">
        <v>105443</v>
      </c>
      <c r="B790" s="1" t="s">
        <v>857</v>
      </c>
    </row>
    <row r="791" spans="1:2">
      <c r="A791" s="23">
        <v>105444</v>
      </c>
      <c r="B791" s="1" t="s">
        <v>858</v>
      </c>
    </row>
    <row r="792" spans="1:2">
      <c r="A792" s="23">
        <v>105445</v>
      </c>
      <c r="B792" s="1" t="s">
        <v>859</v>
      </c>
    </row>
    <row r="793" spans="1:2">
      <c r="A793" s="23">
        <v>105446</v>
      </c>
      <c r="B793" s="1" t="s">
        <v>860</v>
      </c>
    </row>
    <row r="794" spans="1:2">
      <c r="A794" s="23">
        <v>105447</v>
      </c>
      <c r="B794" s="1" t="s">
        <v>861</v>
      </c>
    </row>
    <row r="795" spans="1:2">
      <c r="A795" s="23">
        <v>105448</v>
      </c>
      <c r="B795" s="1" t="s">
        <v>862</v>
      </c>
    </row>
    <row r="796" spans="1:2">
      <c r="A796" s="23">
        <v>105449</v>
      </c>
      <c r="B796" s="1" t="s">
        <v>863</v>
      </c>
    </row>
    <row r="797" spans="1:2">
      <c r="A797" s="23">
        <v>105450</v>
      </c>
      <c r="B797" s="1" t="s">
        <v>864</v>
      </c>
    </row>
    <row r="798" spans="1:2">
      <c r="A798" s="23">
        <v>105451</v>
      </c>
      <c r="B798" s="1" t="s">
        <v>865</v>
      </c>
    </row>
    <row r="799" spans="1:2">
      <c r="A799" s="23">
        <v>105452</v>
      </c>
      <c r="B799" s="1" t="s">
        <v>866</v>
      </c>
    </row>
    <row r="800" spans="1:2">
      <c r="A800" s="23">
        <v>105453</v>
      </c>
      <c r="B800" s="1" t="s">
        <v>867</v>
      </c>
    </row>
    <row r="801" spans="1:2">
      <c r="A801" s="23">
        <v>105454</v>
      </c>
      <c r="B801" s="1" t="s">
        <v>868</v>
      </c>
    </row>
    <row r="802" spans="1:2">
      <c r="A802" s="23">
        <v>105455</v>
      </c>
      <c r="B802" s="1" t="s">
        <v>869</v>
      </c>
    </row>
    <row r="803" spans="1:2">
      <c r="A803" s="23">
        <v>105456</v>
      </c>
      <c r="B803" s="1" t="s">
        <v>870</v>
      </c>
    </row>
    <row r="804" spans="1:2">
      <c r="A804" s="23">
        <v>105457</v>
      </c>
      <c r="B804" s="1" t="s">
        <v>871</v>
      </c>
    </row>
    <row r="805" spans="1:2">
      <c r="A805" s="23">
        <v>105458</v>
      </c>
      <c r="B805" s="1" t="s">
        <v>872</v>
      </c>
    </row>
    <row r="806" spans="1:2">
      <c r="A806" s="23">
        <v>105459</v>
      </c>
      <c r="B806" s="1" t="s">
        <v>873</v>
      </c>
    </row>
    <row r="807" spans="1:2">
      <c r="A807" s="23">
        <v>105460</v>
      </c>
      <c r="B807" s="1" t="s">
        <v>874</v>
      </c>
    </row>
    <row r="808" spans="1:2">
      <c r="A808" s="23">
        <v>105461</v>
      </c>
      <c r="B808" s="1" t="s">
        <v>875</v>
      </c>
    </row>
    <row r="809" spans="1:2">
      <c r="A809" s="23">
        <v>105462</v>
      </c>
      <c r="B809" s="1" t="s">
        <v>876</v>
      </c>
    </row>
    <row r="810" spans="1:2">
      <c r="A810" s="23">
        <v>105463</v>
      </c>
      <c r="B810" s="1" t="s">
        <v>877</v>
      </c>
    </row>
    <row r="811" spans="1:2">
      <c r="A811" s="23">
        <v>105464</v>
      </c>
      <c r="B811" s="1" t="s">
        <v>878</v>
      </c>
    </row>
    <row r="812" spans="1:2">
      <c r="A812" s="23">
        <v>105465</v>
      </c>
      <c r="B812" s="1" t="s">
        <v>879</v>
      </c>
    </row>
    <row r="813" spans="1:2">
      <c r="A813" s="23">
        <v>105466</v>
      </c>
      <c r="B813" s="1" t="s">
        <v>880</v>
      </c>
    </row>
    <row r="814" spans="1:2">
      <c r="A814" s="23">
        <v>105467</v>
      </c>
      <c r="B814" s="1" t="s">
        <v>881</v>
      </c>
    </row>
    <row r="815" spans="1:2">
      <c r="A815" s="23">
        <v>105468</v>
      </c>
      <c r="B815" s="1" t="s">
        <v>882</v>
      </c>
    </row>
    <row r="816" spans="1:2">
      <c r="A816" s="23">
        <v>105469</v>
      </c>
      <c r="B816" s="1" t="s">
        <v>883</v>
      </c>
    </row>
    <row r="817" spans="1:2">
      <c r="A817" s="23">
        <v>105470</v>
      </c>
      <c r="B817" s="1" t="s">
        <v>884</v>
      </c>
    </row>
    <row r="818" spans="1:2">
      <c r="A818" s="23">
        <v>105471</v>
      </c>
      <c r="B818" s="1" t="s">
        <v>885</v>
      </c>
    </row>
    <row r="819" spans="1:2">
      <c r="A819" s="23">
        <v>105472</v>
      </c>
      <c r="B819" s="1" t="s">
        <v>886</v>
      </c>
    </row>
    <row r="820" spans="1:2">
      <c r="A820" s="23">
        <v>105473</v>
      </c>
      <c r="B820" s="1" t="s">
        <v>887</v>
      </c>
    </row>
    <row r="821" spans="1:2">
      <c r="A821" s="23">
        <v>105474</v>
      </c>
      <c r="B821" s="1" t="s">
        <v>888</v>
      </c>
    </row>
    <row r="822" spans="1:2">
      <c r="A822" s="23">
        <v>105475</v>
      </c>
      <c r="B822" s="1" t="s">
        <v>889</v>
      </c>
    </row>
    <row r="823" spans="1:2">
      <c r="A823" s="23">
        <v>105476</v>
      </c>
      <c r="B823" s="1" t="s">
        <v>890</v>
      </c>
    </row>
    <row r="824" spans="1:2">
      <c r="A824" s="23">
        <v>105477</v>
      </c>
      <c r="B824" s="1" t="s">
        <v>891</v>
      </c>
    </row>
    <row r="825" spans="1:2">
      <c r="A825" s="23">
        <v>105478</v>
      </c>
      <c r="B825" s="1" t="s">
        <v>892</v>
      </c>
    </row>
    <row r="826" spans="1:2">
      <c r="A826" s="23">
        <v>105479</v>
      </c>
      <c r="B826" s="1" t="s">
        <v>893</v>
      </c>
    </row>
    <row r="827" spans="1:2">
      <c r="A827" s="23">
        <v>105480</v>
      </c>
      <c r="B827" s="1" t="s">
        <v>894</v>
      </c>
    </row>
    <row r="828" spans="1:2">
      <c r="A828" s="23">
        <v>105481</v>
      </c>
      <c r="B828" s="1" t="s">
        <v>895</v>
      </c>
    </row>
    <row r="829" spans="1:2">
      <c r="A829" s="23">
        <v>105482</v>
      </c>
      <c r="B829" s="1" t="s">
        <v>896</v>
      </c>
    </row>
    <row r="830" spans="1:2">
      <c r="A830" s="23">
        <v>105483</v>
      </c>
      <c r="B830" s="1" t="s">
        <v>897</v>
      </c>
    </row>
    <row r="831" spans="1:2">
      <c r="A831" s="23">
        <v>105484</v>
      </c>
      <c r="B831" s="1" t="s">
        <v>898</v>
      </c>
    </row>
    <row r="832" spans="1:2">
      <c r="A832" s="23">
        <v>105485</v>
      </c>
      <c r="B832" s="1" t="s">
        <v>899</v>
      </c>
    </row>
    <row r="833" spans="1:2">
      <c r="A833" s="23">
        <v>105486</v>
      </c>
      <c r="B833" s="1" t="s">
        <v>900</v>
      </c>
    </row>
    <row r="834" spans="1:2">
      <c r="A834" s="23">
        <v>105487</v>
      </c>
      <c r="B834" s="1" t="s">
        <v>901</v>
      </c>
    </row>
    <row r="835" spans="1:2">
      <c r="A835" s="23">
        <v>105488</v>
      </c>
      <c r="B835" s="1" t="s">
        <v>902</v>
      </c>
    </row>
    <row r="836" spans="1:2">
      <c r="A836" s="23">
        <v>105489</v>
      </c>
      <c r="B836" s="1" t="s">
        <v>903</v>
      </c>
    </row>
    <row r="837" spans="1:2">
      <c r="A837" s="23">
        <v>105490</v>
      </c>
      <c r="B837" s="1" t="s">
        <v>904</v>
      </c>
    </row>
    <row r="838" spans="1:2">
      <c r="A838" s="23">
        <v>105491</v>
      </c>
      <c r="B838" s="1" t="s">
        <v>905</v>
      </c>
    </row>
    <row r="839" spans="1:2">
      <c r="A839" s="23">
        <v>105492</v>
      </c>
      <c r="B839" s="1" t="s">
        <v>906</v>
      </c>
    </row>
    <row r="840" spans="1:2">
      <c r="A840" s="23">
        <v>105493</v>
      </c>
      <c r="B840" s="1" t="s">
        <v>907</v>
      </c>
    </row>
    <row r="841" spans="1:2">
      <c r="A841" s="23">
        <v>105494</v>
      </c>
      <c r="B841" s="1" t="s">
        <v>908</v>
      </c>
    </row>
    <row r="842" spans="1:2">
      <c r="A842" s="23">
        <v>105495</v>
      </c>
      <c r="B842" s="1" t="s">
        <v>909</v>
      </c>
    </row>
    <row r="843" spans="1:2">
      <c r="A843" s="23">
        <v>105496</v>
      </c>
      <c r="B843" s="1" t="s">
        <v>910</v>
      </c>
    </row>
    <row r="844" spans="1:2">
      <c r="A844" s="23">
        <v>105497</v>
      </c>
      <c r="B844" s="1" t="s">
        <v>911</v>
      </c>
    </row>
    <row r="845" spans="1:2">
      <c r="A845" s="23">
        <v>105498</v>
      </c>
      <c r="B845" s="1" t="s">
        <v>912</v>
      </c>
    </row>
    <row r="846" spans="1:2">
      <c r="A846" s="23">
        <v>105499</v>
      </c>
      <c r="B846" s="1" t="s">
        <v>913</v>
      </c>
    </row>
    <row r="847" spans="1:2">
      <c r="A847" s="23">
        <v>105500</v>
      </c>
      <c r="B847" s="1" t="s">
        <v>914</v>
      </c>
    </row>
    <row r="848" spans="1:2">
      <c r="A848" s="23">
        <v>105501</v>
      </c>
      <c r="B848" s="1" t="s">
        <v>915</v>
      </c>
    </row>
    <row r="849" spans="1:2">
      <c r="A849" s="23">
        <v>105502</v>
      </c>
      <c r="B849" s="1" t="s">
        <v>916</v>
      </c>
    </row>
    <row r="850" spans="1:2">
      <c r="A850" s="23">
        <v>105503</v>
      </c>
      <c r="B850" s="1" t="s">
        <v>917</v>
      </c>
    </row>
    <row r="851" spans="1:2">
      <c r="A851" s="23">
        <v>105504</v>
      </c>
      <c r="B851" s="1" t="s">
        <v>918</v>
      </c>
    </row>
    <row r="852" spans="1:2">
      <c r="A852" s="23">
        <v>105505</v>
      </c>
      <c r="B852" s="1" t="s">
        <v>919</v>
      </c>
    </row>
    <row r="853" spans="1:2">
      <c r="A853" s="23">
        <v>105506</v>
      </c>
      <c r="B853" s="1" t="s">
        <v>920</v>
      </c>
    </row>
    <row r="854" spans="1:2">
      <c r="A854" s="23">
        <v>105507</v>
      </c>
      <c r="B854" s="1" t="s">
        <v>921</v>
      </c>
    </row>
    <row r="855" spans="1:2">
      <c r="A855" s="23">
        <v>105508</v>
      </c>
      <c r="B855" s="1" t="s">
        <v>922</v>
      </c>
    </row>
    <row r="856" spans="1:2">
      <c r="A856" s="23">
        <v>105509</v>
      </c>
      <c r="B856" s="1" t="s">
        <v>923</v>
      </c>
    </row>
    <row r="857" spans="1:2">
      <c r="A857" s="23">
        <v>105510</v>
      </c>
      <c r="B857" s="1" t="s">
        <v>924</v>
      </c>
    </row>
    <row r="858" spans="1:2">
      <c r="A858" s="23">
        <v>105511</v>
      </c>
      <c r="B858" s="1" t="s">
        <v>925</v>
      </c>
    </row>
    <row r="859" spans="1:2">
      <c r="A859" s="23">
        <v>105512</v>
      </c>
      <c r="B859" s="1" t="s">
        <v>926</v>
      </c>
    </row>
    <row r="860" spans="1:2">
      <c r="A860" s="23">
        <v>105513</v>
      </c>
      <c r="B860" s="1" t="s">
        <v>927</v>
      </c>
    </row>
    <row r="861" spans="1:2">
      <c r="A861" s="23">
        <v>105514</v>
      </c>
      <c r="B861" s="1" t="s">
        <v>928</v>
      </c>
    </row>
    <row r="862" spans="1:2">
      <c r="A862" s="23">
        <v>105515</v>
      </c>
      <c r="B862" s="1" t="s">
        <v>929</v>
      </c>
    </row>
    <row r="863" spans="1:2">
      <c r="A863" s="23">
        <v>105516</v>
      </c>
      <c r="B863" s="1" t="s">
        <v>930</v>
      </c>
    </row>
    <row r="864" spans="1:2">
      <c r="A864" s="23">
        <v>105517</v>
      </c>
      <c r="B864" s="1" t="s">
        <v>931</v>
      </c>
    </row>
    <row r="865" spans="1:2">
      <c r="A865" s="23">
        <v>105518</v>
      </c>
      <c r="B865" s="1" t="s">
        <v>932</v>
      </c>
    </row>
    <row r="866" spans="1:2">
      <c r="A866" s="23">
        <v>105519</v>
      </c>
      <c r="B866" s="1" t="s">
        <v>933</v>
      </c>
    </row>
    <row r="867" spans="1:2">
      <c r="A867" s="23">
        <v>105520</v>
      </c>
      <c r="B867" s="1" t="s">
        <v>934</v>
      </c>
    </row>
    <row r="868" spans="1:2">
      <c r="A868" s="23">
        <v>105521</v>
      </c>
      <c r="B868" s="1" t="s">
        <v>935</v>
      </c>
    </row>
    <row r="869" spans="1:2">
      <c r="A869" s="23">
        <v>105522</v>
      </c>
      <c r="B869" s="1" t="s">
        <v>936</v>
      </c>
    </row>
    <row r="870" spans="1:2">
      <c r="A870" s="23">
        <v>105523</v>
      </c>
      <c r="B870" s="1" t="s">
        <v>937</v>
      </c>
    </row>
    <row r="871" spans="1:2">
      <c r="A871" s="23">
        <v>105524</v>
      </c>
      <c r="B871" s="1" t="s">
        <v>938</v>
      </c>
    </row>
    <row r="872" spans="1:2">
      <c r="A872" s="23">
        <v>105525</v>
      </c>
      <c r="B872" s="1" t="s">
        <v>939</v>
      </c>
    </row>
    <row r="873" spans="1:2">
      <c r="A873" s="23">
        <v>105526</v>
      </c>
      <c r="B873" s="1" t="s">
        <v>940</v>
      </c>
    </row>
    <row r="874" spans="1:2">
      <c r="A874" s="23">
        <v>105527</v>
      </c>
      <c r="B874" s="1" t="s">
        <v>941</v>
      </c>
    </row>
    <row r="875" spans="1:2">
      <c r="A875" s="23">
        <v>105528</v>
      </c>
      <c r="B875" s="1" t="s">
        <v>942</v>
      </c>
    </row>
    <row r="876" spans="1:2">
      <c r="A876" s="23">
        <v>105529</v>
      </c>
      <c r="B876" s="1" t="s">
        <v>943</v>
      </c>
    </row>
    <row r="877" spans="1:2">
      <c r="A877" s="23">
        <v>105530</v>
      </c>
      <c r="B877" s="1" t="s">
        <v>944</v>
      </c>
    </row>
    <row r="878" spans="1:2">
      <c r="A878" s="23">
        <v>105531</v>
      </c>
      <c r="B878" s="1" t="s">
        <v>945</v>
      </c>
    </row>
    <row r="879" spans="1:2">
      <c r="A879" s="23">
        <v>105532</v>
      </c>
      <c r="B879" s="1" t="s">
        <v>946</v>
      </c>
    </row>
    <row r="880" spans="1:2">
      <c r="A880" s="23">
        <v>105533</v>
      </c>
      <c r="B880" s="1" t="s">
        <v>947</v>
      </c>
    </row>
    <row r="881" spans="1:2">
      <c r="A881" s="23">
        <v>105534</v>
      </c>
      <c r="B881" s="1" t="s">
        <v>948</v>
      </c>
    </row>
    <row r="882" spans="1:2">
      <c r="A882" s="23">
        <v>105535</v>
      </c>
      <c r="B882" s="1" t="s">
        <v>949</v>
      </c>
    </row>
    <row r="883" spans="1:2">
      <c r="A883" s="23">
        <v>105536</v>
      </c>
      <c r="B883" s="1" t="s">
        <v>950</v>
      </c>
    </row>
    <row r="884" spans="1:2">
      <c r="A884" s="23">
        <v>105537</v>
      </c>
      <c r="B884" s="1" t="s">
        <v>951</v>
      </c>
    </row>
    <row r="885" spans="1:2">
      <c r="A885" s="23">
        <v>105538</v>
      </c>
      <c r="B885" s="1" t="s">
        <v>952</v>
      </c>
    </row>
    <row r="886" spans="1:2">
      <c r="A886" s="23">
        <v>105539</v>
      </c>
      <c r="B886" s="1" t="s">
        <v>953</v>
      </c>
    </row>
    <row r="887" spans="1:2">
      <c r="A887" s="23">
        <v>105540</v>
      </c>
      <c r="B887" s="1" t="s">
        <v>954</v>
      </c>
    </row>
    <row r="888" spans="1:2">
      <c r="A888" s="23">
        <v>105541</v>
      </c>
      <c r="B888" s="1" t="s">
        <v>955</v>
      </c>
    </row>
    <row r="889" spans="1:2">
      <c r="A889" s="23">
        <v>105542</v>
      </c>
      <c r="B889" s="1" t="s">
        <v>956</v>
      </c>
    </row>
    <row r="890" spans="1:2">
      <c r="A890" s="23">
        <v>105543</v>
      </c>
      <c r="B890" s="1" t="s">
        <v>957</v>
      </c>
    </row>
    <row r="891" spans="1:2">
      <c r="A891" s="23">
        <v>105544</v>
      </c>
      <c r="B891" s="1" t="s">
        <v>958</v>
      </c>
    </row>
    <row r="892" spans="1:2">
      <c r="A892" s="23">
        <v>105545</v>
      </c>
      <c r="B892" s="1" t="s">
        <v>959</v>
      </c>
    </row>
    <row r="893" spans="1:2">
      <c r="A893" s="23">
        <v>105546</v>
      </c>
      <c r="B893" s="1" t="s">
        <v>960</v>
      </c>
    </row>
    <row r="894" spans="1:2">
      <c r="A894" s="23">
        <v>105547</v>
      </c>
      <c r="B894" s="1" t="s">
        <v>961</v>
      </c>
    </row>
    <row r="895" spans="1:2">
      <c r="A895" s="23">
        <v>105548</v>
      </c>
      <c r="B895" s="1" t="s">
        <v>962</v>
      </c>
    </row>
    <row r="896" spans="1:2">
      <c r="A896" s="23">
        <v>105549</v>
      </c>
      <c r="B896" s="1" t="s">
        <v>963</v>
      </c>
    </row>
    <row r="897" spans="1:2">
      <c r="A897" s="23">
        <v>105550</v>
      </c>
      <c r="B897" s="1" t="s">
        <v>964</v>
      </c>
    </row>
    <row r="898" spans="1:2">
      <c r="A898" s="23">
        <v>105551</v>
      </c>
      <c r="B898" s="1" t="s">
        <v>965</v>
      </c>
    </row>
    <row r="899" spans="1:2">
      <c r="A899" s="23">
        <v>105552</v>
      </c>
      <c r="B899" s="1" t="s">
        <v>966</v>
      </c>
    </row>
    <row r="900" spans="1:2">
      <c r="A900" s="23">
        <v>105553</v>
      </c>
      <c r="B900" s="1" t="s">
        <v>967</v>
      </c>
    </row>
    <row r="901" spans="1:2">
      <c r="A901" s="23">
        <v>105554</v>
      </c>
      <c r="B901" s="1" t="s">
        <v>968</v>
      </c>
    </row>
    <row r="902" spans="1:2">
      <c r="A902" s="23">
        <v>105555</v>
      </c>
      <c r="B902" s="1" t="s">
        <v>969</v>
      </c>
    </row>
    <row r="903" spans="1:2">
      <c r="A903" s="23">
        <v>105556</v>
      </c>
      <c r="B903" s="1" t="s">
        <v>970</v>
      </c>
    </row>
    <row r="904" spans="1:2">
      <c r="A904" s="23">
        <v>105557</v>
      </c>
      <c r="B904" s="1" t="s">
        <v>971</v>
      </c>
    </row>
    <row r="905" spans="1:2">
      <c r="A905" s="23">
        <v>105558</v>
      </c>
      <c r="B905" s="1" t="s">
        <v>972</v>
      </c>
    </row>
    <row r="906" spans="1:2">
      <c r="A906" s="23">
        <v>105559</v>
      </c>
      <c r="B906" s="1" t="s">
        <v>973</v>
      </c>
    </row>
    <row r="907" spans="1:2">
      <c r="A907" s="23">
        <v>105560</v>
      </c>
      <c r="B907" s="1" t="s">
        <v>974</v>
      </c>
    </row>
    <row r="908" spans="1:2">
      <c r="A908" s="23">
        <v>105561</v>
      </c>
      <c r="B908" s="1" t="s">
        <v>975</v>
      </c>
    </row>
    <row r="909" spans="1:2">
      <c r="A909" s="23">
        <v>105562</v>
      </c>
      <c r="B909" s="1" t="s">
        <v>976</v>
      </c>
    </row>
    <row r="910" spans="1:2">
      <c r="A910" s="23">
        <v>105563</v>
      </c>
      <c r="B910" s="1" t="s">
        <v>977</v>
      </c>
    </row>
    <row r="911" spans="1:2">
      <c r="A911" s="23">
        <v>105564</v>
      </c>
      <c r="B911" s="1" t="s">
        <v>978</v>
      </c>
    </row>
    <row r="912" spans="1:2">
      <c r="A912" s="23">
        <v>105565</v>
      </c>
      <c r="B912" s="1" t="s">
        <v>979</v>
      </c>
    </row>
    <row r="913" spans="1:2">
      <c r="A913" s="23">
        <v>105566</v>
      </c>
      <c r="B913" s="1" t="s">
        <v>980</v>
      </c>
    </row>
    <row r="914" spans="1:2">
      <c r="A914" s="23">
        <v>105567</v>
      </c>
      <c r="B914" s="1" t="s">
        <v>981</v>
      </c>
    </row>
    <row r="915" spans="1:2">
      <c r="A915" s="23">
        <v>105568</v>
      </c>
      <c r="B915" s="1" t="s">
        <v>982</v>
      </c>
    </row>
    <row r="916" spans="1:2">
      <c r="A916" s="23">
        <v>105569</v>
      </c>
      <c r="B916" s="1" t="s">
        <v>983</v>
      </c>
    </row>
    <row r="917" spans="1:2">
      <c r="A917" s="23">
        <v>105570</v>
      </c>
      <c r="B917" s="1" t="s">
        <v>984</v>
      </c>
    </row>
    <row r="918" spans="1:2">
      <c r="A918" s="23">
        <v>105571</v>
      </c>
      <c r="B918" s="1" t="s">
        <v>985</v>
      </c>
    </row>
    <row r="919" spans="1:2">
      <c r="A919" s="23">
        <v>105572</v>
      </c>
      <c r="B919" s="1" t="s">
        <v>986</v>
      </c>
    </row>
    <row r="920" spans="1:2">
      <c r="A920" s="23">
        <v>105573</v>
      </c>
      <c r="B920" s="1" t="s">
        <v>987</v>
      </c>
    </row>
    <row r="921" spans="1:2">
      <c r="A921" s="23">
        <v>105574</v>
      </c>
      <c r="B921" s="1" t="s">
        <v>988</v>
      </c>
    </row>
    <row r="922" spans="1:2">
      <c r="A922" s="23">
        <v>105575</v>
      </c>
      <c r="B922" s="1" t="s">
        <v>989</v>
      </c>
    </row>
    <row r="923" spans="1:2">
      <c r="A923" s="23">
        <v>105576</v>
      </c>
      <c r="B923" s="1" t="s">
        <v>990</v>
      </c>
    </row>
    <row r="924" spans="1:2">
      <c r="A924" s="23">
        <v>105577</v>
      </c>
      <c r="B924" s="1" t="s">
        <v>991</v>
      </c>
    </row>
    <row r="925" spans="1:2">
      <c r="A925" s="23">
        <v>105578</v>
      </c>
      <c r="B925" s="1" t="s">
        <v>992</v>
      </c>
    </row>
    <row r="926" spans="1:2">
      <c r="A926" s="23">
        <v>105579</v>
      </c>
      <c r="B926" s="1" t="s">
        <v>993</v>
      </c>
    </row>
    <row r="927" spans="1:2">
      <c r="A927" s="23">
        <v>105580</v>
      </c>
      <c r="B927" s="1" t="s">
        <v>994</v>
      </c>
    </row>
    <row r="928" spans="1:2">
      <c r="A928" s="23">
        <v>105581</v>
      </c>
      <c r="B928" s="1" t="s">
        <v>995</v>
      </c>
    </row>
    <row r="929" spans="1:2">
      <c r="A929" s="23">
        <v>105582</v>
      </c>
      <c r="B929" s="1" t="s">
        <v>996</v>
      </c>
    </row>
    <row r="930" spans="1:2">
      <c r="A930" s="23">
        <v>105583</v>
      </c>
      <c r="B930" s="1" t="s">
        <v>997</v>
      </c>
    </row>
    <row r="931" spans="1:2">
      <c r="A931" s="23">
        <v>105584</v>
      </c>
      <c r="B931" s="1" t="s">
        <v>998</v>
      </c>
    </row>
    <row r="932" spans="1:2">
      <c r="A932" s="23">
        <v>105585</v>
      </c>
      <c r="B932" s="1" t="s">
        <v>999</v>
      </c>
    </row>
    <row r="933" spans="1:2">
      <c r="A933" s="23">
        <v>105586</v>
      </c>
      <c r="B933" s="1" t="s">
        <v>1000</v>
      </c>
    </row>
    <row r="934" spans="1:2">
      <c r="A934" s="23">
        <v>105587</v>
      </c>
      <c r="B934" s="1" t="s">
        <v>1001</v>
      </c>
    </row>
    <row r="935" spans="1:2">
      <c r="A935" s="23">
        <v>105588</v>
      </c>
      <c r="B935" s="1" t="s">
        <v>1002</v>
      </c>
    </row>
    <row r="936" spans="1:2">
      <c r="A936" s="23">
        <v>105589</v>
      </c>
      <c r="B936" s="1" t="s">
        <v>1003</v>
      </c>
    </row>
    <row r="937" spans="1:2">
      <c r="A937" s="23">
        <v>105590</v>
      </c>
      <c r="B937" s="1" t="s">
        <v>1004</v>
      </c>
    </row>
    <row r="938" spans="1:2">
      <c r="A938" s="23">
        <v>105591</v>
      </c>
      <c r="B938" s="1" t="s">
        <v>1005</v>
      </c>
    </row>
    <row r="939" spans="1:2">
      <c r="A939" s="23">
        <v>105592</v>
      </c>
      <c r="B939" s="1" t="s">
        <v>1006</v>
      </c>
    </row>
    <row r="940" spans="1:2">
      <c r="A940" s="23">
        <v>105593</v>
      </c>
      <c r="B940" s="1" t="s">
        <v>1007</v>
      </c>
    </row>
    <row r="941" spans="1:2">
      <c r="A941" s="23">
        <v>105594</v>
      </c>
      <c r="B941" s="1" t="s">
        <v>1008</v>
      </c>
    </row>
    <row r="942" spans="1:2">
      <c r="A942" s="23">
        <v>105595</v>
      </c>
      <c r="B942" s="1" t="s">
        <v>1009</v>
      </c>
    </row>
    <row r="943" spans="1:2">
      <c r="A943" s="23">
        <v>105596</v>
      </c>
      <c r="B943" s="1" t="s">
        <v>1010</v>
      </c>
    </row>
    <row r="944" spans="1:2">
      <c r="A944" s="23">
        <v>105597</v>
      </c>
      <c r="B944" s="1" t="s">
        <v>1011</v>
      </c>
    </row>
    <row r="945" spans="1:2">
      <c r="A945" s="23">
        <v>105598</v>
      </c>
      <c r="B945" s="1" t="s">
        <v>1012</v>
      </c>
    </row>
    <row r="946" spans="1:2">
      <c r="A946" s="23">
        <v>105599</v>
      </c>
      <c r="B946" s="1" t="s">
        <v>1013</v>
      </c>
    </row>
    <row r="947" spans="1:2">
      <c r="A947" s="23">
        <v>105600</v>
      </c>
      <c r="B947" s="1" t="s">
        <v>1014</v>
      </c>
    </row>
    <row r="948" spans="1:2">
      <c r="A948" s="23">
        <v>105601</v>
      </c>
      <c r="B948" s="1" t="s">
        <v>1015</v>
      </c>
    </row>
    <row r="949" spans="1:2">
      <c r="A949" s="23">
        <v>105602</v>
      </c>
      <c r="B949" s="1" t="s">
        <v>1016</v>
      </c>
    </row>
    <row r="950" spans="1:2">
      <c r="A950" s="23">
        <v>105603</v>
      </c>
      <c r="B950" s="1" t="s">
        <v>1017</v>
      </c>
    </row>
    <row r="951" spans="1:2">
      <c r="A951" s="23">
        <v>105604</v>
      </c>
      <c r="B951" s="1" t="s">
        <v>1018</v>
      </c>
    </row>
    <row r="952" spans="1:2">
      <c r="A952" s="23">
        <v>105605</v>
      </c>
      <c r="B952" s="1" t="s">
        <v>1019</v>
      </c>
    </row>
    <row r="953" spans="1:2">
      <c r="A953" s="23">
        <v>105606</v>
      </c>
      <c r="B953" s="1" t="s">
        <v>1020</v>
      </c>
    </row>
    <row r="954" spans="1:2">
      <c r="A954" s="23">
        <v>105607</v>
      </c>
      <c r="B954" s="1" t="s">
        <v>1021</v>
      </c>
    </row>
    <row r="955" spans="1:2">
      <c r="A955" s="23">
        <v>105608</v>
      </c>
      <c r="B955" s="1" t="s">
        <v>1022</v>
      </c>
    </row>
    <row r="956" spans="1:2">
      <c r="A956" s="23">
        <v>105609</v>
      </c>
      <c r="B956" s="1" t="s">
        <v>1023</v>
      </c>
    </row>
    <row r="957" spans="1:2">
      <c r="A957" s="23">
        <v>105610</v>
      </c>
      <c r="B957" s="1" t="s">
        <v>1024</v>
      </c>
    </row>
    <row r="958" spans="1:2">
      <c r="A958" s="23">
        <v>105611</v>
      </c>
      <c r="B958" s="1" t="s">
        <v>1025</v>
      </c>
    </row>
    <row r="959" spans="1:2">
      <c r="A959" s="23">
        <v>105612</v>
      </c>
      <c r="B959" s="1" t="s">
        <v>1026</v>
      </c>
    </row>
    <row r="960" spans="1:2">
      <c r="A960" s="23">
        <v>105613</v>
      </c>
      <c r="B960" s="1" t="s">
        <v>1027</v>
      </c>
    </row>
    <row r="961" spans="1:2">
      <c r="A961" s="23">
        <v>105614</v>
      </c>
      <c r="B961" s="1" t="s">
        <v>1028</v>
      </c>
    </row>
    <row r="962" spans="1:2">
      <c r="A962" s="23">
        <v>105615</v>
      </c>
      <c r="B962" s="1" t="s">
        <v>1029</v>
      </c>
    </row>
    <row r="963" spans="1:2">
      <c r="A963" s="23">
        <v>105616</v>
      </c>
      <c r="B963" s="1" t="s">
        <v>1030</v>
      </c>
    </row>
    <row r="964" spans="1:2">
      <c r="A964" s="23">
        <v>105617</v>
      </c>
      <c r="B964" s="1" t="s">
        <v>1031</v>
      </c>
    </row>
    <row r="965" spans="1:2">
      <c r="A965" s="23">
        <v>105618</v>
      </c>
      <c r="B965" s="1" t="s">
        <v>1032</v>
      </c>
    </row>
    <row r="966" spans="1:2">
      <c r="A966" s="23">
        <v>105619</v>
      </c>
      <c r="B966" s="1" t="s">
        <v>1033</v>
      </c>
    </row>
    <row r="967" spans="1:2">
      <c r="A967" s="23">
        <v>105620</v>
      </c>
      <c r="B967" s="1" t="s">
        <v>1034</v>
      </c>
    </row>
    <row r="968" spans="1:2">
      <c r="A968" s="23">
        <v>105621</v>
      </c>
      <c r="B968" s="1" t="s">
        <v>1035</v>
      </c>
    </row>
    <row r="969" spans="1:2">
      <c r="A969" s="23">
        <v>105622</v>
      </c>
      <c r="B969" s="1" t="s">
        <v>1036</v>
      </c>
    </row>
    <row r="970" spans="1:2">
      <c r="A970" s="23">
        <v>105623</v>
      </c>
      <c r="B970" s="1" t="s">
        <v>1037</v>
      </c>
    </row>
    <row r="971" spans="1:2">
      <c r="A971" s="23">
        <v>105624</v>
      </c>
      <c r="B971" s="1" t="s">
        <v>1038</v>
      </c>
    </row>
    <row r="972" spans="1:2">
      <c r="A972" s="23">
        <v>105625</v>
      </c>
      <c r="B972" s="1" t="s">
        <v>1039</v>
      </c>
    </row>
    <row r="973" spans="1:2">
      <c r="A973" s="23">
        <v>105626</v>
      </c>
      <c r="B973" s="1" t="s">
        <v>1040</v>
      </c>
    </row>
    <row r="974" spans="1:2">
      <c r="A974" s="23">
        <v>105627</v>
      </c>
      <c r="B974" s="1" t="s">
        <v>1041</v>
      </c>
    </row>
    <row r="975" spans="1:2">
      <c r="A975" s="23">
        <v>105628</v>
      </c>
      <c r="B975" s="1" t="s">
        <v>1042</v>
      </c>
    </row>
    <row r="976" spans="1:2">
      <c r="A976" s="23">
        <v>105629</v>
      </c>
      <c r="B976" s="1" t="s">
        <v>1043</v>
      </c>
    </row>
    <row r="977" spans="1:2">
      <c r="A977" s="23">
        <v>105630</v>
      </c>
      <c r="B977" s="1" t="s">
        <v>1044</v>
      </c>
    </row>
    <row r="978" spans="1:2">
      <c r="A978" s="23">
        <v>105631</v>
      </c>
      <c r="B978" s="1" t="s">
        <v>1045</v>
      </c>
    </row>
    <row r="979" spans="1:2">
      <c r="A979" s="23">
        <v>105632</v>
      </c>
      <c r="B979" s="1" t="s">
        <v>1046</v>
      </c>
    </row>
    <row r="980" spans="1:2">
      <c r="A980" s="23">
        <v>105633</v>
      </c>
      <c r="B980" s="1" t="s">
        <v>1047</v>
      </c>
    </row>
    <row r="981" spans="1:2">
      <c r="A981" s="23">
        <v>105634</v>
      </c>
      <c r="B981" s="1" t="s">
        <v>1048</v>
      </c>
    </row>
    <row r="982" spans="1:2">
      <c r="A982" s="23">
        <v>105635</v>
      </c>
      <c r="B982" s="1" t="s">
        <v>1049</v>
      </c>
    </row>
    <row r="983" spans="1:2">
      <c r="A983" s="23">
        <v>105636</v>
      </c>
      <c r="B983" s="1" t="s">
        <v>1050</v>
      </c>
    </row>
    <row r="984" spans="1:2">
      <c r="A984" s="23">
        <v>105637</v>
      </c>
      <c r="B984" s="1" t="s">
        <v>1051</v>
      </c>
    </row>
    <row r="985" spans="1:2">
      <c r="A985" s="23">
        <v>105638</v>
      </c>
      <c r="B985" s="1" t="s">
        <v>1052</v>
      </c>
    </row>
    <row r="986" spans="1:2">
      <c r="A986" s="23">
        <v>105639</v>
      </c>
      <c r="B986" s="1" t="s">
        <v>1053</v>
      </c>
    </row>
    <row r="987" spans="1:2">
      <c r="A987" s="23">
        <v>105640</v>
      </c>
      <c r="B987" s="1" t="s">
        <v>1054</v>
      </c>
    </row>
    <row r="988" spans="1:2">
      <c r="A988" s="23">
        <v>105641</v>
      </c>
      <c r="B988" s="1" t="s">
        <v>1055</v>
      </c>
    </row>
    <row r="989" spans="1:2">
      <c r="A989" s="23">
        <v>105642</v>
      </c>
      <c r="B989" s="1" t="s">
        <v>1056</v>
      </c>
    </row>
    <row r="990" spans="1:2">
      <c r="A990" s="23">
        <v>105643</v>
      </c>
      <c r="B990" s="1" t="s">
        <v>1057</v>
      </c>
    </row>
    <row r="991" spans="1:2">
      <c r="A991" s="23">
        <v>105644</v>
      </c>
      <c r="B991" s="1" t="s">
        <v>1058</v>
      </c>
    </row>
    <row r="992" spans="1:2">
      <c r="A992" s="23">
        <v>105645</v>
      </c>
      <c r="B992" s="1" t="s">
        <v>1059</v>
      </c>
    </row>
    <row r="993" spans="1:2">
      <c r="A993" s="23">
        <v>105646</v>
      </c>
      <c r="B993" s="1" t="s">
        <v>1060</v>
      </c>
    </row>
    <row r="994" spans="1:2">
      <c r="A994" s="23">
        <v>105647</v>
      </c>
      <c r="B994" s="1" t="s">
        <v>1061</v>
      </c>
    </row>
    <row r="995" spans="1:2">
      <c r="A995" s="23">
        <v>105648</v>
      </c>
      <c r="B995" s="1" t="s">
        <v>1062</v>
      </c>
    </row>
    <row r="996" spans="1:2">
      <c r="A996" s="23">
        <v>105649</v>
      </c>
      <c r="B996" s="1" t="s">
        <v>1063</v>
      </c>
    </row>
    <row r="997" spans="1:2">
      <c r="A997" s="23">
        <v>105650</v>
      </c>
      <c r="B997" s="1" t="s">
        <v>1064</v>
      </c>
    </row>
    <row r="998" spans="1:2">
      <c r="A998" s="23">
        <v>105651</v>
      </c>
      <c r="B998" s="1" t="s">
        <v>1065</v>
      </c>
    </row>
    <row r="999" spans="1:2">
      <c r="A999" s="23">
        <v>105652</v>
      </c>
      <c r="B999" s="1" t="s">
        <v>1066</v>
      </c>
    </row>
    <row r="1000" spans="1:2">
      <c r="A1000" s="23">
        <v>105653</v>
      </c>
      <c r="B1000" s="1" t="s">
        <v>1067</v>
      </c>
    </row>
    <row r="1001" spans="1:2">
      <c r="A1001" s="23">
        <v>105654</v>
      </c>
      <c r="B1001" s="1" t="s">
        <v>1068</v>
      </c>
    </row>
    <row r="1002" spans="1:2">
      <c r="A1002" s="23">
        <v>105655</v>
      </c>
      <c r="B1002" s="1" t="s">
        <v>1069</v>
      </c>
    </row>
    <row r="1003" spans="1:2">
      <c r="A1003" s="23">
        <v>105656</v>
      </c>
      <c r="B1003" s="1" t="s">
        <v>1070</v>
      </c>
    </row>
    <row r="1004" spans="1:2">
      <c r="A1004" s="23">
        <v>105657</v>
      </c>
      <c r="B1004" s="1" t="s">
        <v>1071</v>
      </c>
    </row>
    <row r="1005" spans="1:2">
      <c r="A1005" s="23">
        <v>105658</v>
      </c>
      <c r="B1005" s="1" t="s">
        <v>1072</v>
      </c>
    </row>
    <row r="1006" spans="1:2">
      <c r="A1006" s="23">
        <v>105659</v>
      </c>
      <c r="B1006" s="1" t="s">
        <v>1073</v>
      </c>
    </row>
    <row r="1007" spans="1:2">
      <c r="A1007" s="23">
        <v>105660</v>
      </c>
      <c r="B1007" s="1" t="s">
        <v>1074</v>
      </c>
    </row>
    <row r="1008" spans="1:2">
      <c r="A1008" s="23">
        <v>105661</v>
      </c>
      <c r="B1008" s="1" t="s">
        <v>1075</v>
      </c>
    </row>
    <row r="1009" spans="1:2">
      <c r="A1009" s="23">
        <v>105662</v>
      </c>
      <c r="B1009" s="1" t="s">
        <v>1076</v>
      </c>
    </row>
    <row r="1010" spans="1:2">
      <c r="A1010" s="23">
        <v>105663</v>
      </c>
      <c r="B1010" s="1" t="s">
        <v>1077</v>
      </c>
    </row>
    <row r="1011" spans="1:2">
      <c r="A1011" s="23">
        <v>105664</v>
      </c>
      <c r="B1011" s="1" t="s">
        <v>1078</v>
      </c>
    </row>
    <row r="1012" spans="1:2">
      <c r="A1012" s="23">
        <v>105665</v>
      </c>
      <c r="B1012" s="1" t="s">
        <v>1079</v>
      </c>
    </row>
    <row r="1013" spans="1:2">
      <c r="A1013" s="23">
        <v>105666</v>
      </c>
      <c r="B1013" s="1" t="s">
        <v>1080</v>
      </c>
    </row>
    <row r="1014" spans="1:2">
      <c r="A1014" s="23">
        <v>105667</v>
      </c>
      <c r="B1014" s="1" t="s">
        <v>1081</v>
      </c>
    </row>
    <row r="1015" spans="1:2">
      <c r="A1015" s="23">
        <v>105668</v>
      </c>
      <c r="B1015" s="1" t="s">
        <v>1082</v>
      </c>
    </row>
    <row r="1016" spans="1:2">
      <c r="A1016" s="23">
        <v>105669</v>
      </c>
      <c r="B1016" s="1" t="s">
        <v>1083</v>
      </c>
    </row>
    <row r="1017" spans="1:2">
      <c r="A1017" s="23">
        <v>105670</v>
      </c>
      <c r="B1017" s="1" t="s">
        <v>1084</v>
      </c>
    </row>
    <row r="1018" spans="1:2">
      <c r="A1018" s="23">
        <v>105671</v>
      </c>
      <c r="B1018" s="1" t="s">
        <v>1085</v>
      </c>
    </row>
    <row r="1019" spans="1:2">
      <c r="A1019" s="23">
        <v>105672</v>
      </c>
      <c r="B1019" s="1" t="s">
        <v>1086</v>
      </c>
    </row>
    <row r="1020" spans="1:2">
      <c r="A1020" s="23">
        <v>105673</v>
      </c>
      <c r="B1020" s="1" t="s">
        <v>1087</v>
      </c>
    </row>
    <row r="1021" spans="1:2">
      <c r="A1021" s="23">
        <v>105674</v>
      </c>
      <c r="B1021" s="1" t="s">
        <v>1088</v>
      </c>
    </row>
    <row r="1022" spans="1:2">
      <c r="A1022" s="23">
        <v>105675</v>
      </c>
      <c r="B1022" s="1" t="s">
        <v>1089</v>
      </c>
    </row>
    <row r="1023" spans="1:2">
      <c r="A1023" s="23">
        <v>105676</v>
      </c>
      <c r="B1023" s="1" t="s">
        <v>1090</v>
      </c>
    </row>
    <row r="1024" spans="1:2">
      <c r="A1024" s="23">
        <v>105677</v>
      </c>
      <c r="B1024" s="1" t="s">
        <v>1091</v>
      </c>
    </row>
    <row r="1025" spans="1:2">
      <c r="A1025" s="23">
        <v>105678</v>
      </c>
      <c r="B1025" s="1" t="s">
        <v>1092</v>
      </c>
    </row>
    <row r="1026" spans="1:2">
      <c r="A1026" s="23">
        <v>105679</v>
      </c>
      <c r="B1026" s="1" t="s">
        <v>1093</v>
      </c>
    </row>
    <row r="1027" spans="1:2">
      <c r="A1027" s="23">
        <v>105680</v>
      </c>
      <c r="B1027" s="1" t="s">
        <v>1094</v>
      </c>
    </row>
    <row r="1028" spans="1:2">
      <c r="A1028" s="23">
        <v>105681</v>
      </c>
      <c r="B1028" s="1" t="s">
        <v>1095</v>
      </c>
    </row>
    <row r="1029" spans="1:2">
      <c r="A1029" s="23">
        <v>105682</v>
      </c>
      <c r="B1029" s="1" t="s">
        <v>1096</v>
      </c>
    </row>
    <row r="1030" spans="1:2">
      <c r="A1030" s="23">
        <v>105683</v>
      </c>
      <c r="B1030" s="1" t="s">
        <v>1097</v>
      </c>
    </row>
    <row r="1031" spans="1:2">
      <c r="A1031" s="23">
        <v>105684</v>
      </c>
      <c r="B1031" s="1" t="s">
        <v>1098</v>
      </c>
    </row>
    <row r="1032" spans="1:2">
      <c r="A1032" s="23">
        <v>105685</v>
      </c>
      <c r="B1032" s="1" t="s">
        <v>1099</v>
      </c>
    </row>
    <row r="1033" spans="1:2">
      <c r="A1033" s="23">
        <v>105686</v>
      </c>
      <c r="B1033" s="1" t="s">
        <v>1100</v>
      </c>
    </row>
    <row r="1034" spans="1:2">
      <c r="A1034" s="23">
        <v>105687</v>
      </c>
      <c r="B1034" s="1" t="s">
        <v>1101</v>
      </c>
    </row>
    <row r="1035" spans="1:2">
      <c r="A1035" s="23">
        <v>105688</v>
      </c>
      <c r="B1035" s="1" t="s">
        <v>1102</v>
      </c>
    </row>
    <row r="1036" spans="1:2">
      <c r="A1036" s="23">
        <v>105689</v>
      </c>
      <c r="B1036" s="1" t="s">
        <v>1103</v>
      </c>
    </row>
    <row r="1037" spans="1:2">
      <c r="A1037" s="23">
        <v>105690</v>
      </c>
      <c r="B1037" s="1" t="s">
        <v>1104</v>
      </c>
    </row>
    <row r="1038" spans="1:2">
      <c r="A1038" s="23">
        <v>105691</v>
      </c>
      <c r="B1038" s="1" t="s">
        <v>1105</v>
      </c>
    </row>
    <row r="1039" spans="1:2">
      <c r="A1039" s="23">
        <v>105692</v>
      </c>
      <c r="B1039" s="1" t="s">
        <v>1106</v>
      </c>
    </row>
    <row r="1040" spans="1:2">
      <c r="A1040" s="23">
        <v>105693</v>
      </c>
      <c r="B1040" s="1" t="s">
        <v>1107</v>
      </c>
    </row>
    <row r="1041" spans="1:2">
      <c r="A1041" s="23">
        <v>105694</v>
      </c>
      <c r="B1041" s="1" t="s">
        <v>1108</v>
      </c>
    </row>
    <row r="1042" spans="1:2">
      <c r="A1042" s="23">
        <v>105695</v>
      </c>
      <c r="B1042" s="1" t="s">
        <v>1109</v>
      </c>
    </row>
    <row r="1043" spans="1:2">
      <c r="A1043" s="23">
        <v>105696</v>
      </c>
      <c r="B1043" s="1" t="s">
        <v>1110</v>
      </c>
    </row>
    <row r="1044" spans="1:2">
      <c r="A1044" s="23">
        <v>105697</v>
      </c>
      <c r="B1044" s="1" t="s">
        <v>1111</v>
      </c>
    </row>
    <row r="1045" spans="1:2">
      <c r="A1045" s="23">
        <v>105698</v>
      </c>
      <c r="B1045" s="1" t="s">
        <v>1112</v>
      </c>
    </row>
    <row r="1046" spans="1:2">
      <c r="A1046" s="23">
        <v>105699</v>
      </c>
      <c r="B1046" s="1" t="s">
        <v>1113</v>
      </c>
    </row>
    <row r="1047" spans="1:2">
      <c r="A1047" s="23">
        <v>105700</v>
      </c>
      <c r="B1047" s="1" t="s">
        <v>1114</v>
      </c>
    </row>
    <row r="1048" spans="1:2">
      <c r="A1048" s="23">
        <v>105701</v>
      </c>
      <c r="B1048" s="1" t="s">
        <v>1115</v>
      </c>
    </row>
    <row r="1049" spans="1:2">
      <c r="A1049" s="23">
        <v>105702</v>
      </c>
      <c r="B1049" s="1" t="s">
        <v>1116</v>
      </c>
    </row>
    <row r="1050" spans="1:2">
      <c r="A1050" s="23">
        <v>105703</v>
      </c>
      <c r="B1050" s="1" t="s">
        <v>1117</v>
      </c>
    </row>
    <row r="1051" spans="1:2">
      <c r="A1051" s="23">
        <v>105704</v>
      </c>
      <c r="B1051" s="1" t="s">
        <v>1118</v>
      </c>
    </row>
    <row r="1052" spans="1:2">
      <c r="A1052" s="23">
        <v>105705</v>
      </c>
      <c r="B1052" s="1" t="s">
        <v>1119</v>
      </c>
    </row>
    <row r="1053" spans="1:2">
      <c r="A1053" s="23">
        <v>105706</v>
      </c>
      <c r="B1053" s="1" t="s">
        <v>1120</v>
      </c>
    </row>
    <row r="1054" spans="1:2">
      <c r="A1054" s="23">
        <v>105707</v>
      </c>
      <c r="B1054" s="1" t="s">
        <v>1121</v>
      </c>
    </row>
    <row r="1055" spans="1:2">
      <c r="A1055" s="23">
        <v>105708</v>
      </c>
      <c r="B1055" s="1" t="s">
        <v>1122</v>
      </c>
    </row>
    <row r="1056" spans="1:2">
      <c r="A1056" s="23">
        <v>105709</v>
      </c>
      <c r="B1056" s="1" t="s">
        <v>1123</v>
      </c>
    </row>
    <row r="1057" spans="1:2">
      <c r="A1057" s="23">
        <v>105710</v>
      </c>
      <c r="B1057" s="1" t="s">
        <v>1124</v>
      </c>
    </row>
    <row r="1058" spans="1:2">
      <c r="A1058" s="23">
        <v>105711</v>
      </c>
      <c r="B1058" s="1" t="s">
        <v>1125</v>
      </c>
    </row>
    <row r="1059" spans="1:2">
      <c r="A1059" s="23">
        <v>105712</v>
      </c>
      <c r="B1059" s="1" t="s">
        <v>1126</v>
      </c>
    </row>
    <row r="1060" spans="1:2">
      <c r="A1060" s="23">
        <v>105713</v>
      </c>
      <c r="B1060" s="1" t="s">
        <v>1127</v>
      </c>
    </row>
    <row r="1061" spans="1:2">
      <c r="A1061" s="23">
        <v>105714</v>
      </c>
      <c r="B1061" s="1" t="s">
        <v>1128</v>
      </c>
    </row>
    <row r="1062" spans="1:2">
      <c r="A1062" s="23">
        <v>105715</v>
      </c>
      <c r="B1062" s="1" t="s">
        <v>1129</v>
      </c>
    </row>
    <row r="1063" spans="1:2">
      <c r="A1063" s="23">
        <v>105716</v>
      </c>
      <c r="B1063" s="1" t="s">
        <v>1130</v>
      </c>
    </row>
    <row r="1064" spans="1:2">
      <c r="A1064" s="23">
        <v>105717</v>
      </c>
      <c r="B1064" s="1" t="s">
        <v>1131</v>
      </c>
    </row>
    <row r="1065" spans="1:2">
      <c r="A1065" s="23">
        <v>105718</v>
      </c>
      <c r="B1065" s="1" t="s">
        <v>1132</v>
      </c>
    </row>
    <row r="1066" spans="1:2">
      <c r="A1066" s="23">
        <v>105719</v>
      </c>
      <c r="B1066" s="1" t="s">
        <v>1133</v>
      </c>
    </row>
    <row r="1067" spans="1:2">
      <c r="A1067" s="23">
        <v>105720</v>
      </c>
      <c r="B1067" s="1" t="s">
        <v>1134</v>
      </c>
    </row>
    <row r="1068" spans="1:2">
      <c r="A1068" s="23">
        <v>105721</v>
      </c>
      <c r="B1068" s="1" t="s">
        <v>1135</v>
      </c>
    </row>
    <row r="1069" spans="1:2">
      <c r="A1069" s="23">
        <v>105722</v>
      </c>
      <c r="B1069" s="1" t="s">
        <v>1136</v>
      </c>
    </row>
    <row r="1070" spans="1:2">
      <c r="A1070" s="23">
        <v>105723</v>
      </c>
      <c r="B1070" s="1" t="s">
        <v>1137</v>
      </c>
    </row>
    <row r="1071" spans="1:2">
      <c r="A1071" s="23">
        <v>105724</v>
      </c>
      <c r="B1071" s="1" t="s">
        <v>1138</v>
      </c>
    </row>
    <row r="1072" spans="1:2">
      <c r="A1072" s="23">
        <v>105725</v>
      </c>
      <c r="B1072" s="1" t="s">
        <v>1139</v>
      </c>
    </row>
    <row r="1073" spans="1:2">
      <c r="A1073" s="23">
        <v>105726</v>
      </c>
      <c r="B1073" s="1" t="s">
        <v>1140</v>
      </c>
    </row>
    <row r="1074" spans="1:2">
      <c r="A1074" s="23">
        <v>105727</v>
      </c>
      <c r="B1074" s="1" t="s">
        <v>1141</v>
      </c>
    </row>
    <row r="1075" spans="1:2">
      <c r="A1075" s="23">
        <v>105728</v>
      </c>
      <c r="B1075" s="1" t="s">
        <v>1142</v>
      </c>
    </row>
    <row r="1076" spans="1:2">
      <c r="A1076" s="23">
        <v>105729</v>
      </c>
      <c r="B1076" s="1" t="s">
        <v>1143</v>
      </c>
    </row>
    <row r="1077" spans="1:2">
      <c r="A1077" s="23">
        <v>105730</v>
      </c>
      <c r="B1077" s="1" t="s">
        <v>1144</v>
      </c>
    </row>
    <row r="1078" spans="1:2">
      <c r="A1078" s="23">
        <v>105731</v>
      </c>
      <c r="B1078" s="1" t="s">
        <v>1145</v>
      </c>
    </row>
    <row r="1079" spans="1:2">
      <c r="A1079" s="23">
        <v>105732</v>
      </c>
      <c r="B1079" s="1" t="s">
        <v>1146</v>
      </c>
    </row>
    <row r="1080" spans="1:2">
      <c r="A1080" s="23">
        <v>105733</v>
      </c>
      <c r="B1080" s="1" t="s">
        <v>1147</v>
      </c>
    </row>
    <row r="1081" spans="1:2">
      <c r="A1081" s="23">
        <v>105734</v>
      </c>
      <c r="B1081" s="1" t="s">
        <v>1148</v>
      </c>
    </row>
    <row r="1082" spans="1:2">
      <c r="A1082" s="23">
        <v>105735</v>
      </c>
      <c r="B1082" s="1" t="s">
        <v>1149</v>
      </c>
    </row>
    <row r="1083" spans="1:2">
      <c r="A1083" s="23">
        <v>105736</v>
      </c>
      <c r="B1083" s="1" t="s">
        <v>1150</v>
      </c>
    </row>
    <row r="1084" spans="1:2">
      <c r="A1084" s="23">
        <v>105737</v>
      </c>
      <c r="B1084" s="1" t="s">
        <v>1151</v>
      </c>
    </row>
    <row r="1085" spans="1:2">
      <c r="A1085" s="23">
        <v>105738</v>
      </c>
      <c r="B1085" s="1" t="s">
        <v>1152</v>
      </c>
    </row>
    <row r="1086" spans="1:2">
      <c r="A1086" s="23">
        <v>105739</v>
      </c>
      <c r="B1086" s="1" t="s">
        <v>1153</v>
      </c>
    </row>
    <row r="1087" spans="1:2">
      <c r="A1087" s="23">
        <v>105740</v>
      </c>
      <c r="B1087" s="1" t="s">
        <v>1154</v>
      </c>
    </row>
    <row r="1088" spans="1:2">
      <c r="A1088" s="23">
        <v>105741</v>
      </c>
      <c r="B1088" s="1" t="s">
        <v>1155</v>
      </c>
    </row>
    <row r="1089" spans="1:2">
      <c r="A1089" s="23">
        <v>105742</v>
      </c>
      <c r="B1089" s="1" t="s">
        <v>1156</v>
      </c>
    </row>
    <row r="1090" spans="1:2">
      <c r="A1090" s="23">
        <v>105743</v>
      </c>
      <c r="B1090" s="1" t="s">
        <v>1157</v>
      </c>
    </row>
    <row r="1091" spans="1:2">
      <c r="A1091" s="23">
        <v>105744</v>
      </c>
      <c r="B1091" s="1" t="s">
        <v>1158</v>
      </c>
    </row>
    <row r="1092" spans="1:2">
      <c r="A1092" s="23">
        <v>105745</v>
      </c>
      <c r="B1092" s="1" t="s">
        <v>1159</v>
      </c>
    </row>
    <row r="1093" spans="1:2">
      <c r="A1093" s="23">
        <v>105746</v>
      </c>
      <c r="B1093" s="1" t="s">
        <v>1160</v>
      </c>
    </row>
    <row r="1094" spans="1:2">
      <c r="A1094" s="23">
        <v>105747</v>
      </c>
      <c r="B1094" s="1" t="s">
        <v>1161</v>
      </c>
    </row>
    <row r="1095" spans="1:2">
      <c r="A1095" s="23">
        <v>105748</v>
      </c>
      <c r="B1095" s="1" t="s">
        <v>1162</v>
      </c>
    </row>
    <row r="1096" spans="1:2">
      <c r="A1096" s="23">
        <v>105749</v>
      </c>
      <c r="B1096" s="1" t="s">
        <v>1163</v>
      </c>
    </row>
    <row r="1097" spans="1:2">
      <c r="A1097" s="23">
        <v>105750</v>
      </c>
      <c r="B1097" s="1" t="s">
        <v>1164</v>
      </c>
    </row>
    <row r="1098" spans="1:2">
      <c r="A1098" s="23">
        <v>105751</v>
      </c>
      <c r="B1098" s="1" t="s">
        <v>1165</v>
      </c>
    </row>
    <row r="1099" spans="1:2">
      <c r="A1099" s="23">
        <v>105752</v>
      </c>
      <c r="B1099" s="1" t="s">
        <v>1166</v>
      </c>
    </row>
    <row r="1100" spans="1:2">
      <c r="A1100" s="23">
        <v>105753</v>
      </c>
      <c r="B1100" s="1" t="s">
        <v>1167</v>
      </c>
    </row>
    <row r="1101" spans="1:2">
      <c r="A1101" s="23">
        <v>105754</v>
      </c>
      <c r="B1101" s="1" t="s">
        <v>1168</v>
      </c>
    </row>
    <row r="1102" spans="1:2">
      <c r="A1102" s="23">
        <v>105755</v>
      </c>
      <c r="B1102" s="1" t="s">
        <v>1169</v>
      </c>
    </row>
    <row r="1103" spans="1:2">
      <c r="A1103" s="23">
        <v>105756</v>
      </c>
      <c r="B1103" s="1" t="s">
        <v>1170</v>
      </c>
    </row>
    <row r="1104" spans="1:2">
      <c r="A1104" s="23">
        <v>105757</v>
      </c>
      <c r="B1104" s="1" t="s">
        <v>1171</v>
      </c>
    </row>
    <row r="1105" spans="1:2">
      <c r="A1105" s="23">
        <v>105758</v>
      </c>
      <c r="B1105" s="1" t="s">
        <v>1172</v>
      </c>
    </row>
    <row r="1106" spans="1:2">
      <c r="A1106" s="23">
        <v>105759</v>
      </c>
      <c r="B1106" s="1" t="s">
        <v>1173</v>
      </c>
    </row>
    <row r="1107" spans="1:2">
      <c r="A1107" s="23">
        <v>105760</v>
      </c>
      <c r="B1107" s="1" t="s">
        <v>1174</v>
      </c>
    </row>
    <row r="1108" spans="1:2">
      <c r="A1108" s="23">
        <v>105761</v>
      </c>
      <c r="B1108" s="1" t="s">
        <v>1175</v>
      </c>
    </row>
    <row r="1109" spans="1:2">
      <c r="A1109" s="23">
        <v>105762</v>
      </c>
      <c r="B1109" s="1" t="s">
        <v>1176</v>
      </c>
    </row>
    <row r="1110" spans="1:2">
      <c r="A1110" s="23">
        <v>105763</v>
      </c>
      <c r="B1110" s="1" t="s">
        <v>1177</v>
      </c>
    </row>
    <row r="1111" spans="1:2">
      <c r="A1111" s="23">
        <v>105764</v>
      </c>
      <c r="B1111" s="1" t="s">
        <v>1178</v>
      </c>
    </row>
    <row r="1112" spans="1:2">
      <c r="A1112" s="23">
        <v>105765</v>
      </c>
      <c r="B1112" s="1" t="s">
        <v>1179</v>
      </c>
    </row>
    <row r="1113" spans="1:2">
      <c r="A1113" s="23">
        <v>105766</v>
      </c>
      <c r="B1113" s="1" t="s">
        <v>1180</v>
      </c>
    </row>
    <row r="1114" spans="1:2">
      <c r="A1114" s="23">
        <v>105767</v>
      </c>
      <c r="B1114" s="1" t="s">
        <v>1181</v>
      </c>
    </row>
    <row r="1115" spans="1:2">
      <c r="A1115" s="23">
        <v>105768</v>
      </c>
      <c r="B1115" s="1" t="s">
        <v>1182</v>
      </c>
    </row>
    <row r="1116" spans="1:2">
      <c r="A1116" s="23">
        <v>105769</v>
      </c>
      <c r="B1116" s="1" t="s">
        <v>1183</v>
      </c>
    </row>
    <row r="1117" spans="1:2">
      <c r="A1117" s="23">
        <v>105770</v>
      </c>
      <c r="B1117" s="1" t="s">
        <v>1184</v>
      </c>
    </row>
    <row r="1118" spans="1:2">
      <c r="A1118" s="23">
        <v>105771</v>
      </c>
      <c r="B1118" s="1" t="s">
        <v>1185</v>
      </c>
    </row>
    <row r="1119" spans="1:2">
      <c r="A1119" s="23">
        <v>105772</v>
      </c>
      <c r="B1119" s="1" t="s">
        <v>1186</v>
      </c>
    </row>
    <row r="1120" spans="1:2">
      <c r="A1120" s="23">
        <v>105773</v>
      </c>
      <c r="B1120" s="1" t="s">
        <v>1187</v>
      </c>
    </row>
    <row r="1121" spans="1:2">
      <c r="A1121" s="23">
        <v>105774</v>
      </c>
      <c r="B1121" s="1" t="s">
        <v>1188</v>
      </c>
    </row>
    <row r="1122" spans="1:2">
      <c r="A1122" s="23">
        <v>105775</v>
      </c>
      <c r="B1122" s="1" t="s">
        <v>1189</v>
      </c>
    </row>
    <row r="1123" spans="1:2">
      <c r="A1123" s="23">
        <v>105776</v>
      </c>
      <c r="B1123" s="1" t="s">
        <v>1190</v>
      </c>
    </row>
    <row r="1124" spans="1:2">
      <c r="A1124" s="23">
        <v>105777</v>
      </c>
      <c r="B1124" s="1" t="s">
        <v>1191</v>
      </c>
    </row>
    <row r="1125" spans="1:2">
      <c r="A1125" s="23">
        <v>105778</v>
      </c>
      <c r="B1125" s="1" t="s">
        <v>1192</v>
      </c>
    </row>
    <row r="1126" spans="1:2">
      <c r="A1126" s="23">
        <v>105779</v>
      </c>
      <c r="B1126" s="1" t="s">
        <v>1193</v>
      </c>
    </row>
    <row r="1127" spans="1:2">
      <c r="A1127" s="23">
        <v>105780</v>
      </c>
      <c r="B1127" s="1" t="s">
        <v>1194</v>
      </c>
    </row>
    <row r="1128" spans="1:2">
      <c r="A1128" s="23">
        <v>105781</v>
      </c>
      <c r="B1128" s="1" t="s">
        <v>1195</v>
      </c>
    </row>
    <row r="1129" spans="1:2">
      <c r="A1129" s="23">
        <v>105782</v>
      </c>
      <c r="B1129" s="1" t="s">
        <v>1196</v>
      </c>
    </row>
    <row r="1130" spans="1:2">
      <c r="A1130" s="23">
        <v>105783</v>
      </c>
      <c r="B1130" s="1" t="s">
        <v>1197</v>
      </c>
    </row>
    <row r="1131" spans="1:2">
      <c r="A1131" s="23">
        <v>105784</v>
      </c>
      <c r="B1131" s="1" t="s">
        <v>1198</v>
      </c>
    </row>
    <row r="1132" spans="1:2">
      <c r="A1132" s="23">
        <v>105785</v>
      </c>
      <c r="B1132" s="1" t="s">
        <v>1199</v>
      </c>
    </row>
    <row r="1133" spans="1:2">
      <c r="A1133" s="23">
        <v>105786</v>
      </c>
      <c r="B1133" s="1" t="s">
        <v>1200</v>
      </c>
    </row>
    <row r="1134" spans="1:2">
      <c r="A1134" s="23">
        <v>105787</v>
      </c>
      <c r="B1134" s="1" t="s">
        <v>1201</v>
      </c>
    </row>
    <row r="1135" spans="1:2">
      <c r="A1135" s="23">
        <v>105788</v>
      </c>
      <c r="B1135" s="1" t="s">
        <v>1202</v>
      </c>
    </row>
    <row r="1136" spans="1:2">
      <c r="A1136" s="23">
        <v>105789</v>
      </c>
      <c r="B1136" s="1" t="s">
        <v>1203</v>
      </c>
    </row>
    <row r="1137" spans="1:2">
      <c r="A1137" s="23">
        <v>105790</v>
      </c>
      <c r="B1137" s="1" t="s">
        <v>1204</v>
      </c>
    </row>
    <row r="1138" spans="1:2">
      <c r="A1138" s="23">
        <v>105791</v>
      </c>
      <c r="B1138" s="1" t="s">
        <v>1205</v>
      </c>
    </row>
    <row r="1139" spans="1:2">
      <c r="A1139" s="23">
        <v>105792</v>
      </c>
      <c r="B1139" s="1" t="s">
        <v>1206</v>
      </c>
    </row>
    <row r="1140" spans="1:2">
      <c r="A1140" s="23">
        <v>105793</v>
      </c>
      <c r="B1140" s="1" t="s">
        <v>1207</v>
      </c>
    </row>
    <row r="1141" spans="1:2">
      <c r="A1141" s="23">
        <v>105794</v>
      </c>
      <c r="B1141" s="1" t="s">
        <v>1208</v>
      </c>
    </row>
    <row r="1142" spans="1:2">
      <c r="A1142" s="23">
        <v>105795</v>
      </c>
      <c r="B1142" s="1" t="s">
        <v>1209</v>
      </c>
    </row>
    <row r="1143" spans="1:2">
      <c r="A1143" s="23">
        <v>105796</v>
      </c>
      <c r="B1143" s="1" t="s">
        <v>1210</v>
      </c>
    </row>
    <row r="1144" spans="1:2">
      <c r="A1144" s="23">
        <v>105797</v>
      </c>
      <c r="B1144" s="1" t="s">
        <v>1211</v>
      </c>
    </row>
    <row r="1145" spans="1:2">
      <c r="A1145" s="23">
        <v>105798</v>
      </c>
      <c r="B1145" s="1" t="s">
        <v>1212</v>
      </c>
    </row>
    <row r="1146" spans="1:2">
      <c r="A1146" s="23">
        <v>105799</v>
      </c>
      <c r="B1146" s="1" t="s">
        <v>1213</v>
      </c>
    </row>
    <row r="1147" spans="1:2">
      <c r="A1147" s="23">
        <v>105800</v>
      </c>
      <c r="B1147" s="1" t="s">
        <v>1214</v>
      </c>
    </row>
    <row r="1148" spans="1:2">
      <c r="A1148" s="23">
        <v>105801</v>
      </c>
      <c r="B1148" s="1" t="s">
        <v>1215</v>
      </c>
    </row>
    <row r="1149" spans="1:2">
      <c r="A1149" s="23">
        <v>105802</v>
      </c>
      <c r="B1149" s="1" t="s">
        <v>1216</v>
      </c>
    </row>
    <row r="1150" spans="1:2">
      <c r="A1150" s="23">
        <v>105803</v>
      </c>
      <c r="B1150" s="1" t="s">
        <v>1217</v>
      </c>
    </row>
    <row r="1151" spans="1:2">
      <c r="A1151" s="23">
        <v>105804</v>
      </c>
      <c r="B1151" s="1" t="s">
        <v>1218</v>
      </c>
    </row>
    <row r="1152" spans="1:2">
      <c r="A1152" s="23">
        <v>105805</v>
      </c>
      <c r="B1152" s="1" t="s">
        <v>1219</v>
      </c>
    </row>
    <row r="1153" spans="1:2">
      <c r="A1153" s="23">
        <v>105806</v>
      </c>
      <c r="B1153" s="1" t="s">
        <v>1220</v>
      </c>
    </row>
    <row r="1154" spans="1:2">
      <c r="A1154" s="23">
        <v>105807</v>
      </c>
      <c r="B1154" s="1" t="s">
        <v>1221</v>
      </c>
    </row>
    <row r="1155" spans="1:2">
      <c r="A1155" s="23">
        <v>105808</v>
      </c>
      <c r="B1155" s="1" t="s">
        <v>1222</v>
      </c>
    </row>
    <row r="1156" spans="1:2">
      <c r="A1156" s="23">
        <v>105809</v>
      </c>
      <c r="B1156" s="1" t="s">
        <v>1223</v>
      </c>
    </row>
    <row r="1157" spans="1:2">
      <c r="A1157" s="23">
        <v>105810</v>
      </c>
      <c r="B1157" s="1" t="s">
        <v>1224</v>
      </c>
    </row>
    <row r="1158" spans="1:2">
      <c r="A1158" s="23">
        <v>105811</v>
      </c>
      <c r="B1158" s="1" t="s">
        <v>1225</v>
      </c>
    </row>
    <row r="1159" spans="1:2">
      <c r="A1159" s="23">
        <v>105812</v>
      </c>
      <c r="B1159" s="1" t="s">
        <v>1226</v>
      </c>
    </row>
    <row r="1160" spans="1:2">
      <c r="A1160" s="23">
        <v>105813</v>
      </c>
      <c r="B1160" s="1" t="s">
        <v>1227</v>
      </c>
    </row>
    <row r="1161" spans="1:2">
      <c r="A1161" s="23">
        <v>105814</v>
      </c>
      <c r="B1161" s="1" t="s">
        <v>1228</v>
      </c>
    </row>
    <row r="1162" spans="1:2">
      <c r="A1162" s="23">
        <v>105815</v>
      </c>
      <c r="B1162" s="1" t="s">
        <v>1229</v>
      </c>
    </row>
    <row r="1163" spans="1:2">
      <c r="A1163" s="23">
        <v>105816</v>
      </c>
      <c r="B1163" s="1" t="s">
        <v>1230</v>
      </c>
    </row>
    <row r="1164" spans="1:2">
      <c r="A1164" s="23">
        <v>105817</v>
      </c>
      <c r="B1164" s="1" t="s">
        <v>1231</v>
      </c>
    </row>
    <row r="1165" spans="1:2">
      <c r="A1165" s="23">
        <v>105818</v>
      </c>
      <c r="B1165" s="1" t="s">
        <v>1232</v>
      </c>
    </row>
    <row r="1166" spans="1:2">
      <c r="A1166" s="23">
        <v>105819</v>
      </c>
      <c r="B1166" s="1" t="s">
        <v>1233</v>
      </c>
    </row>
    <row r="1167" spans="1:2">
      <c r="A1167" s="23">
        <v>105820</v>
      </c>
      <c r="B1167" s="1" t="s">
        <v>1234</v>
      </c>
    </row>
    <row r="1168" spans="1:2">
      <c r="A1168" s="23">
        <v>105821</v>
      </c>
      <c r="B1168" s="1" t="s">
        <v>1235</v>
      </c>
    </row>
    <row r="1169" spans="1:2">
      <c r="A1169" s="23">
        <v>105822</v>
      </c>
      <c r="B1169" s="1" t="s">
        <v>1236</v>
      </c>
    </row>
    <row r="1170" spans="1:2">
      <c r="A1170" s="23">
        <v>105823</v>
      </c>
      <c r="B1170" s="1" t="s">
        <v>1237</v>
      </c>
    </row>
    <row r="1171" spans="1:2">
      <c r="A1171" s="23">
        <v>105824</v>
      </c>
      <c r="B1171" s="1" t="s">
        <v>1238</v>
      </c>
    </row>
    <row r="1172" spans="1:2">
      <c r="A1172" s="23">
        <v>105825</v>
      </c>
      <c r="B1172" s="1" t="s">
        <v>1239</v>
      </c>
    </row>
    <row r="1173" spans="1:2">
      <c r="A1173" s="23">
        <v>105826</v>
      </c>
      <c r="B1173" s="1" t="s">
        <v>1240</v>
      </c>
    </row>
    <row r="1174" spans="1:2">
      <c r="A1174" s="23">
        <v>105827</v>
      </c>
      <c r="B1174" s="1" t="s">
        <v>1241</v>
      </c>
    </row>
    <row r="1175" spans="1:2">
      <c r="A1175" s="23">
        <v>105828</v>
      </c>
      <c r="B1175" s="1" t="s">
        <v>1242</v>
      </c>
    </row>
    <row r="1176" spans="1:2">
      <c r="A1176" s="23">
        <v>105829</v>
      </c>
      <c r="B1176" s="1" t="s">
        <v>1243</v>
      </c>
    </row>
    <row r="1177" spans="1:2">
      <c r="A1177" s="23">
        <v>105830</v>
      </c>
      <c r="B1177" s="1" t="s">
        <v>1244</v>
      </c>
    </row>
    <row r="1178" spans="1:2">
      <c r="A1178" s="23">
        <v>105831</v>
      </c>
      <c r="B1178" s="1" t="s">
        <v>1245</v>
      </c>
    </row>
    <row r="1179" spans="1:2">
      <c r="A1179" s="23">
        <v>105832</v>
      </c>
      <c r="B1179" s="1" t="s">
        <v>1246</v>
      </c>
    </row>
    <row r="1180" spans="1:2">
      <c r="A1180" s="23">
        <v>105833</v>
      </c>
      <c r="B1180" s="1" t="s">
        <v>1247</v>
      </c>
    </row>
    <row r="1181" spans="1:2">
      <c r="A1181" s="23">
        <v>105834</v>
      </c>
      <c r="B1181" s="1" t="s">
        <v>1248</v>
      </c>
    </row>
    <row r="1182" spans="1:2">
      <c r="A1182" s="23">
        <v>105835</v>
      </c>
      <c r="B1182" s="1" t="s">
        <v>1249</v>
      </c>
    </row>
    <row r="1183" spans="1:2">
      <c r="A1183" s="23">
        <v>105836</v>
      </c>
      <c r="B1183" s="1" t="s">
        <v>1250</v>
      </c>
    </row>
    <row r="1184" spans="1:2">
      <c r="A1184" s="23">
        <v>105837</v>
      </c>
      <c r="B1184" s="1" t="s">
        <v>1251</v>
      </c>
    </row>
    <row r="1185" spans="1:2">
      <c r="A1185" s="23">
        <v>105838</v>
      </c>
      <c r="B1185" s="1" t="s">
        <v>1252</v>
      </c>
    </row>
    <row r="1186" spans="1:2">
      <c r="A1186" s="23">
        <v>105839</v>
      </c>
      <c r="B1186" s="1" t="s">
        <v>1253</v>
      </c>
    </row>
    <row r="1187" spans="1:2">
      <c r="A1187" s="23">
        <v>105840</v>
      </c>
      <c r="B1187" s="1" t="s">
        <v>1254</v>
      </c>
    </row>
    <row r="1188" spans="1:2">
      <c r="A1188" s="23">
        <v>105841</v>
      </c>
      <c r="B1188" s="1" t="s">
        <v>1255</v>
      </c>
    </row>
    <row r="1189" spans="1:2">
      <c r="A1189" s="23">
        <v>105842</v>
      </c>
      <c r="B1189" s="1" t="s">
        <v>1256</v>
      </c>
    </row>
    <row r="1190" spans="1:2">
      <c r="A1190" s="23">
        <v>105843</v>
      </c>
      <c r="B1190" s="1" t="s">
        <v>1257</v>
      </c>
    </row>
    <row r="1191" spans="1:2">
      <c r="A1191" s="23">
        <v>105844</v>
      </c>
      <c r="B1191" s="1" t="s">
        <v>1258</v>
      </c>
    </row>
    <row r="1192" spans="1:2">
      <c r="A1192" s="23">
        <v>105845</v>
      </c>
      <c r="B1192" s="1" t="s">
        <v>1259</v>
      </c>
    </row>
    <row r="1193" spans="1:2">
      <c r="A1193" s="23">
        <v>105846</v>
      </c>
      <c r="B1193" s="1" t="s">
        <v>1260</v>
      </c>
    </row>
    <row r="1194" spans="1:2">
      <c r="A1194" s="23">
        <v>105847</v>
      </c>
      <c r="B1194" s="1" t="s">
        <v>1261</v>
      </c>
    </row>
    <row r="1195" spans="1:2">
      <c r="A1195" s="23">
        <v>105848</v>
      </c>
      <c r="B1195" s="1" t="s">
        <v>1262</v>
      </c>
    </row>
    <row r="1196" spans="1:2">
      <c r="A1196" s="23">
        <v>105849</v>
      </c>
      <c r="B1196" s="1" t="s">
        <v>1263</v>
      </c>
    </row>
    <row r="1197" spans="1:2">
      <c r="A1197" s="23">
        <v>105850</v>
      </c>
      <c r="B1197" s="1" t="s">
        <v>1264</v>
      </c>
    </row>
    <row r="1198" spans="1:2">
      <c r="A1198" s="23">
        <v>105851</v>
      </c>
      <c r="B1198" s="1" t="s">
        <v>1265</v>
      </c>
    </row>
    <row r="1199" spans="1:2">
      <c r="A1199" s="23">
        <v>105852</v>
      </c>
      <c r="B1199" s="1" t="s">
        <v>1266</v>
      </c>
    </row>
    <row r="1200" spans="1:2">
      <c r="A1200" s="23">
        <v>105853</v>
      </c>
      <c r="B1200" s="1" t="s">
        <v>1267</v>
      </c>
    </row>
    <row r="1201" spans="1:2">
      <c r="A1201" s="23">
        <v>105854</v>
      </c>
      <c r="B1201" s="1" t="s">
        <v>1268</v>
      </c>
    </row>
    <row r="1202" spans="1:2">
      <c r="A1202" s="23">
        <v>105855</v>
      </c>
      <c r="B1202" s="1" t="s">
        <v>1269</v>
      </c>
    </row>
    <row r="1203" spans="1:2">
      <c r="A1203" s="23">
        <v>105856</v>
      </c>
      <c r="B1203" s="1" t="s">
        <v>1270</v>
      </c>
    </row>
    <row r="1204" spans="1:2">
      <c r="A1204" s="23">
        <v>105857</v>
      </c>
      <c r="B1204" s="1" t="s">
        <v>1271</v>
      </c>
    </row>
    <row r="1205" spans="1:2">
      <c r="A1205" s="23">
        <v>105858</v>
      </c>
      <c r="B1205" s="1" t="s">
        <v>1272</v>
      </c>
    </row>
    <row r="1206" spans="1:2">
      <c r="A1206" s="23">
        <v>105859</v>
      </c>
      <c r="B1206" s="1" t="s">
        <v>1273</v>
      </c>
    </row>
    <row r="1207" spans="1:2">
      <c r="A1207" s="23">
        <v>105860</v>
      </c>
      <c r="B1207" s="1" t="s">
        <v>1274</v>
      </c>
    </row>
    <row r="1208" spans="1:2">
      <c r="A1208" s="23">
        <v>105861</v>
      </c>
      <c r="B1208" s="1" t="s">
        <v>1275</v>
      </c>
    </row>
    <row r="1209" spans="1:2">
      <c r="A1209" s="23">
        <v>105862</v>
      </c>
      <c r="B1209" s="1" t="s">
        <v>1276</v>
      </c>
    </row>
    <row r="1210" spans="1:2">
      <c r="A1210" s="23">
        <v>105863</v>
      </c>
      <c r="B1210" s="1" t="s">
        <v>1277</v>
      </c>
    </row>
    <row r="1211" spans="1:2">
      <c r="A1211" s="23">
        <v>105864</v>
      </c>
      <c r="B1211" s="1" t="s">
        <v>1278</v>
      </c>
    </row>
    <row r="1212" spans="1:2">
      <c r="A1212" s="23">
        <v>105865</v>
      </c>
      <c r="B1212" s="1" t="s">
        <v>1279</v>
      </c>
    </row>
    <row r="1213" spans="1:2">
      <c r="A1213" s="23">
        <v>105866</v>
      </c>
      <c r="B1213" s="1" t="s">
        <v>1280</v>
      </c>
    </row>
    <row r="1214" spans="1:2">
      <c r="A1214" s="23">
        <v>105867</v>
      </c>
      <c r="B1214" s="1" t="s">
        <v>1281</v>
      </c>
    </row>
    <row r="1215" spans="1:2">
      <c r="A1215" s="23">
        <v>105868</v>
      </c>
      <c r="B1215" s="1" t="s">
        <v>1282</v>
      </c>
    </row>
    <row r="1216" spans="1:2">
      <c r="A1216" s="23">
        <v>105869</v>
      </c>
      <c r="B1216" s="1" t="s">
        <v>1283</v>
      </c>
    </row>
    <row r="1217" spans="1:2">
      <c r="A1217" s="23">
        <v>105870</v>
      </c>
      <c r="B1217" s="1" t="s">
        <v>1284</v>
      </c>
    </row>
    <row r="1218" spans="1:2">
      <c r="A1218" s="23">
        <v>105871</v>
      </c>
      <c r="B1218" s="1" t="s">
        <v>1285</v>
      </c>
    </row>
    <row r="1219" spans="1:2">
      <c r="A1219" s="23">
        <v>105872</v>
      </c>
      <c r="B1219" s="1" t="s">
        <v>1286</v>
      </c>
    </row>
    <row r="1220" spans="1:2">
      <c r="A1220" s="23">
        <v>105873</v>
      </c>
      <c r="B1220" s="1" t="s">
        <v>1287</v>
      </c>
    </row>
    <row r="1221" spans="1:2">
      <c r="A1221" s="23">
        <v>105874</v>
      </c>
      <c r="B1221" s="1" t="s">
        <v>1288</v>
      </c>
    </row>
    <row r="1222" spans="1:2">
      <c r="A1222" s="23">
        <v>105875</v>
      </c>
      <c r="B1222" s="1" t="s">
        <v>1289</v>
      </c>
    </row>
    <row r="1223" spans="1:2">
      <c r="A1223" s="23">
        <v>105876</v>
      </c>
      <c r="B1223" s="1" t="s">
        <v>1290</v>
      </c>
    </row>
    <row r="1224" spans="1:2">
      <c r="A1224" s="23">
        <v>105877</v>
      </c>
      <c r="B1224" s="1" t="s">
        <v>1291</v>
      </c>
    </row>
    <row r="1225" spans="1:2">
      <c r="A1225" s="23">
        <v>105878</v>
      </c>
      <c r="B1225" s="1" t="s">
        <v>1292</v>
      </c>
    </row>
    <row r="1226" spans="1:2">
      <c r="A1226" s="23">
        <v>105879</v>
      </c>
      <c r="B1226" s="1" t="s">
        <v>1293</v>
      </c>
    </row>
    <row r="1227" spans="1:2">
      <c r="A1227" s="23">
        <v>105880</v>
      </c>
      <c r="B1227" s="1" t="s">
        <v>1294</v>
      </c>
    </row>
    <row r="1228" spans="1:2">
      <c r="A1228" s="23">
        <v>105881</v>
      </c>
      <c r="B1228" s="1" t="s">
        <v>1295</v>
      </c>
    </row>
    <row r="1229" spans="1:2">
      <c r="A1229" s="23">
        <v>105882</v>
      </c>
      <c r="B1229" s="1" t="s">
        <v>1296</v>
      </c>
    </row>
    <row r="1230" spans="1:2">
      <c r="A1230" s="23">
        <v>105883</v>
      </c>
      <c r="B1230" s="1" t="s">
        <v>1297</v>
      </c>
    </row>
    <row r="1231" spans="1:2">
      <c r="A1231" s="23">
        <v>105884</v>
      </c>
      <c r="B1231" s="1" t="s">
        <v>1298</v>
      </c>
    </row>
    <row r="1232" spans="1:2">
      <c r="A1232" s="23">
        <v>105885</v>
      </c>
      <c r="B1232" s="1" t="s">
        <v>1299</v>
      </c>
    </row>
    <row r="1233" spans="1:2">
      <c r="A1233" s="23">
        <v>105886</v>
      </c>
      <c r="B1233" s="1" t="s">
        <v>1300</v>
      </c>
    </row>
    <row r="1234" spans="1:2">
      <c r="A1234" s="23">
        <v>105887</v>
      </c>
      <c r="B1234" s="1" t="s">
        <v>1301</v>
      </c>
    </row>
    <row r="1235" spans="1:2">
      <c r="A1235" s="23">
        <v>105888</v>
      </c>
      <c r="B1235" s="1" t="s">
        <v>1302</v>
      </c>
    </row>
    <row r="1236" spans="1:2">
      <c r="A1236" s="23">
        <v>105889</v>
      </c>
      <c r="B1236" s="1" t="s">
        <v>1303</v>
      </c>
    </row>
    <row r="1237" spans="1:2">
      <c r="A1237" s="23">
        <v>105890</v>
      </c>
      <c r="B1237" s="1" t="s">
        <v>1304</v>
      </c>
    </row>
    <row r="1238" spans="1:2">
      <c r="A1238" s="23">
        <v>105891</v>
      </c>
      <c r="B1238" s="1" t="s">
        <v>1305</v>
      </c>
    </row>
    <row r="1239" spans="1:2">
      <c r="A1239" s="23">
        <v>105892</v>
      </c>
      <c r="B1239" s="1" t="s">
        <v>1306</v>
      </c>
    </row>
    <row r="1240" spans="1:2">
      <c r="A1240" s="23">
        <v>105893</v>
      </c>
      <c r="B1240" s="1" t="s">
        <v>1307</v>
      </c>
    </row>
    <row r="1241" spans="1:2">
      <c r="A1241" s="23">
        <v>105894</v>
      </c>
      <c r="B1241" s="1" t="s">
        <v>1308</v>
      </c>
    </row>
    <row r="1242" spans="1:2">
      <c r="A1242" s="23">
        <v>105895</v>
      </c>
      <c r="B1242" s="1" t="s">
        <v>1309</v>
      </c>
    </row>
    <row r="1243" spans="1:2">
      <c r="A1243" s="23">
        <v>105896</v>
      </c>
      <c r="B1243" s="1" t="s">
        <v>1310</v>
      </c>
    </row>
    <row r="1244" spans="1:2">
      <c r="A1244" s="23">
        <v>105897</v>
      </c>
      <c r="B1244" s="1" t="s">
        <v>1311</v>
      </c>
    </row>
    <row r="1245" spans="1:2">
      <c r="A1245" s="23">
        <v>105898</v>
      </c>
      <c r="B1245" s="1" t="s">
        <v>1312</v>
      </c>
    </row>
    <row r="1246" spans="1:2">
      <c r="A1246" s="23">
        <v>105899</v>
      </c>
      <c r="B1246" s="1" t="s">
        <v>1313</v>
      </c>
    </row>
    <row r="1247" spans="1:2">
      <c r="A1247" s="23">
        <v>105900</v>
      </c>
      <c r="B1247" s="1" t="s">
        <v>1314</v>
      </c>
    </row>
    <row r="1248" spans="1:2">
      <c r="A1248" s="23">
        <v>105901</v>
      </c>
      <c r="B1248" s="1" t="s">
        <v>1315</v>
      </c>
    </row>
    <row r="1249" spans="1:2">
      <c r="A1249" s="23">
        <v>105902</v>
      </c>
      <c r="B1249" s="1" t="s">
        <v>1316</v>
      </c>
    </row>
    <row r="1250" spans="1:2">
      <c r="A1250" s="23">
        <v>105903</v>
      </c>
      <c r="B1250" s="1" t="s">
        <v>1317</v>
      </c>
    </row>
    <row r="1251" spans="1:2">
      <c r="A1251" s="23">
        <v>105904</v>
      </c>
      <c r="B1251" s="1" t="s">
        <v>1318</v>
      </c>
    </row>
    <row r="1252" spans="1:2">
      <c r="A1252" s="23">
        <v>105905</v>
      </c>
      <c r="B1252" s="1" t="s">
        <v>1319</v>
      </c>
    </row>
    <row r="1253" spans="1:2">
      <c r="A1253" s="23">
        <v>105906</v>
      </c>
      <c r="B1253" s="1" t="s">
        <v>1320</v>
      </c>
    </row>
    <row r="1254" spans="1:2">
      <c r="A1254" s="23">
        <v>105907</v>
      </c>
      <c r="B1254" s="1" t="s">
        <v>1321</v>
      </c>
    </row>
    <row r="1255" spans="1:2">
      <c r="A1255" s="23">
        <v>105908</v>
      </c>
      <c r="B1255" s="1" t="s">
        <v>1322</v>
      </c>
    </row>
    <row r="1256" spans="1:2">
      <c r="A1256" s="23">
        <v>105909</v>
      </c>
      <c r="B1256" s="1" t="s">
        <v>1323</v>
      </c>
    </row>
    <row r="1257" spans="1:2">
      <c r="A1257" s="23">
        <v>105910</v>
      </c>
      <c r="B1257" s="1" t="s">
        <v>1324</v>
      </c>
    </row>
    <row r="1258" spans="1:2">
      <c r="A1258" s="23">
        <v>105911</v>
      </c>
      <c r="B1258" s="1" t="s">
        <v>1325</v>
      </c>
    </row>
    <row r="1259" spans="1:2">
      <c r="A1259" s="23">
        <v>105912</v>
      </c>
      <c r="B1259" s="1" t="s">
        <v>1326</v>
      </c>
    </row>
    <row r="1260" spans="1:2">
      <c r="A1260" s="23">
        <v>105913</v>
      </c>
      <c r="B1260" s="1" t="s">
        <v>1327</v>
      </c>
    </row>
    <row r="1261" spans="1:2">
      <c r="A1261" s="23">
        <v>105914</v>
      </c>
      <c r="B1261" s="1" t="s">
        <v>1328</v>
      </c>
    </row>
    <row r="1262" spans="1:2">
      <c r="A1262" s="23">
        <v>105915</v>
      </c>
      <c r="B1262" s="1" t="s">
        <v>1329</v>
      </c>
    </row>
    <row r="1263" spans="1:2">
      <c r="A1263" s="23">
        <v>105916</v>
      </c>
      <c r="B1263" s="1" t="s">
        <v>1330</v>
      </c>
    </row>
    <row r="1264" spans="1:2">
      <c r="A1264" s="23">
        <v>105917</v>
      </c>
      <c r="B1264" s="1" t="s">
        <v>1331</v>
      </c>
    </row>
    <row r="1265" spans="1:2">
      <c r="A1265" s="23">
        <v>105918</v>
      </c>
      <c r="B1265" s="1" t="s">
        <v>1332</v>
      </c>
    </row>
    <row r="1266" spans="1:2">
      <c r="A1266" s="23">
        <v>105919</v>
      </c>
      <c r="B1266" s="1" t="s">
        <v>1333</v>
      </c>
    </row>
    <row r="1267" spans="1:2">
      <c r="A1267" s="23">
        <v>105920</v>
      </c>
      <c r="B1267" s="1" t="s">
        <v>1334</v>
      </c>
    </row>
    <row r="1268" spans="1:2">
      <c r="A1268" s="23">
        <v>105921</v>
      </c>
      <c r="B1268" s="1" t="s">
        <v>1335</v>
      </c>
    </row>
    <row r="1269" spans="1:2">
      <c r="A1269" s="23">
        <v>105922</v>
      </c>
      <c r="B1269" s="1" t="s">
        <v>1336</v>
      </c>
    </row>
    <row r="1270" spans="1:2">
      <c r="A1270" s="23">
        <v>105923</v>
      </c>
      <c r="B1270" s="1" t="s">
        <v>1337</v>
      </c>
    </row>
    <row r="1271" spans="1:2">
      <c r="A1271" s="23">
        <v>105924</v>
      </c>
      <c r="B1271" s="1" t="s">
        <v>1338</v>
      </c>
    </row>
    <row r="1272" spans="1:2">
      <c r="A1272" s="23">
        <v>105925</v>
      </c>
      <c r="B1272" s="1" t="s">
        <v>1339</v>
      </c>
    </row>
    <row r="1273" spans="1:2">
      <c r="A1273" s="23">
        <v>105926</v>
      </c>
      <c r="B1273" s="1" t="s">
        <v>1340</v>
      </c>
    </row>
    <row r="1274" spans="1:2">
      <c r="A1274" s="23">
        <v>105927</v>
      </c>
      <c r="B1274" s="1" t="s">
        <v>1341</v>
      </c>
    </row>
    <row r="1275" spans="1:2">
      <c r="A1275" s="23">
        <v>105928</v>
      </c>
      <c r="B1275" s="1" t="s">
        <v>1342</v>
      </c>
    </row>
    <row r="1276" spans="1:2">
      <c r="A1276" s="23">
        <v>105929</v>
      </c>
      <c r="B1276" s="1" t="s">
        <v>1343</v>
      </c>
    </row>
    <row r="1277" spans="1:2">
      <c r="A1277" s="23">
        <v>105930</v>
      </c>
      <c r="B1277" s="1" t="s">
        <v>1344</v>
      </c>
    </row>
    <row r="1278" spans="1:2">
      <c r="A1278" s="23">
        <v>105931</v>
      </c>
      <c r="B1278" s="1" t="s">
        <v>1345</v>
      </c>
    </row>
    <row r="1279" spans="1:2">
      <c r="A1279" s="23">
        <v>105932</v>
      </c>
      <c r="B1279" s="1" t="s">
        <v>1346</v>
      </c>
    </row>
    <row r="1280" spans="1:2">
      <c r="A1280" s="23">
        <v>105933</v>
      </c>
      <c r="B1280" s="1" t="s">
        <v>1347</v>
      </c>
    </row>
    <row r="1281" spans="1:2">
      <c r="A1281" s="23">
        <v>105934</v>
      </c>
      <c r="B1281" s="1" t="s">
        <v>1348</v>
      </c>
    </row>
    <row r="1282" spans="1:2">
      <c r="A1282" s="23">
        <v>105935</v>
      </c>
      <c r="B1282" s="1" t="s">
        <v>1349</v>
      </c>
    </row>
    <row r="1283" spans="1:2">
      <c r="A1283" s="23">
        <v>105936</v>
      </c>
      <c r="B1283" s="1" t="s">
        <v>1350</v>
      </c>
    </row>
    <row r="1284" spans="1:2">
      <c r="A1284" s="23">
        <v>105937</v>
      </c>
      <c r="B1284" s="1" t="s">
        <v>1351</v>
      </c>
    </row>
    <row r="1285" spans="1:2">
      <c r="A1285" s="23">
        <v>105938</v>
      </c>
      <c r="B1285" s="1" t="s">
        <v>1352</v>
      </c>
    </row>
    <row r="1286" spans="1:2">
      <c r="A1286" s="23">
        <v>105939</v>
      </c>
      <c r="B1286" s="1" t="s">
        <v>1353</v>
      </c>
    </row>
    <row r="1287" spans="1:2">
      <c r="A1287" s="23">
        <v>105940</v>
      </c>
      <c r="B1287" s="1" t="s">
        <v>1354</v>
      </c>
    </row>
    <row r="1288" spans="1:2">
      <c r="A1288" s="23">
        <v>105941</v>
      </c>
      <c r="B1288" s="1" t="s">
        <v>1355</v>
      </c>
    </row>
    <row r="1289" spans="1:2">
      <c r="A1289" s="23">
        <v>105942</v>
      </c>
      <c r="B1289" s="1" t="s">
        <v>1356</v>
      </c>
    </row>
    <row r="1290" spans="1:2">
      <c r="A1290" s="23">
        <v>105943</v>
      </c>
      <c r="B1290" s="1" t="s">
        <v>1357</v>
      </c>
    </row>
    <row r="1291" spans="1:2">
      <c r="A1291" s="23">
        <v>105944</v>
      </c>
      <c r="B1291" s="1" t="s">
        <v>1358</v>
      </c>
    </row>
    <row r="1292" spans="1:2">
      <c r="A1292" s="23">
        <v>105945</v>
      </c>
      <c r="B1292" s="1" t="s">
        <v>1359</v>
      </c>
    </row>
    <row r="1293" spans="1:2">
      <c r="A1293" s="23">
        <v>105946</v>
      </c>
      <c r="B1293" s="1" t="s">
        <v>1360</v>
      </c>
    </row>
    <row r="1294" spans="1:2">
      <c r="A1294" s="23">
        <v>105947</v>
      </c>
      <c r="B1294" s="1" t="s">
        <v>1361</v>
      </c>
    </row>
    <row r="1295" spans="1:2">
      <c r="A1295" s="23">
        <v>105948</v>
      </c>
      <c r="B1295" s="1" t="s">
        <v>1362</v>
      </c>
    </row>
    <row r="1296" spans="1:2">
      <c r="A1296" s="23">
        <v>105949</v>
      </c>
      <c r="B1296" s="1" t="s">
        <v>1363</v>
      </c>
    </row>
    <row r="1297" spans="1:2">
      <c r="A1297" s="23">
        <v>105950</v>
      </c>
      <c r="B1297" s="1" t="s">
        <v>1364</v>
      </c>
    </row>
    <row r="1298" spans="1:2">
      <c r="A1298" s="23">
        <v>105951</v>
      </c>
      <c r="B1298" s="1" t="s">
        <v>1365</v>
      </c>
    </row>
    <row r="1299" spans="1:2">
      <c r="A1299" s="23">
        <v>105952</v>
      </c>
      <c r="B1299" s="1" t="s">
        <v>1366</v>
      </c>
    </row>
    <row r="1300" spans="1:2">
      <c r="A1300" s="23">
        <v>105953</v>
      </c>
      <c r="B1300" s="1" t="s">
        <v>1367</v>
      </c>
    </row>
    <row r="1301" spans="1:2">
      <c r="A1301" s="23">
        <v>105954</v>
      </c>
      <c r="B1301" s="1" t="s">
        <v>1368</v>
      </c>
    </row>
    <row r="1302" spans="1:2">
      <c r="A1302" s="23">
        <v>105955</v>
      </c>
      <c r="B1302" s="1" t="s">
        <v>1369</v>
      </c>
    </row>
    <row r="1303" spans="1:2">
      <c r="A1303" s="23">
        <v>105956</v>
      </c>
      <c r="B1303" s="1" t="s">
        <v>1370</v>
      </c>
    </row>
    <row r="1304" spans="1:2">
      <c r="A1304" s="23">
        <v>105957</v>
      </c>
      <c r="B1304" s="1" t="s">
        <v>1371</v>
      </c>
    </row>
    <row r="1305" spans="1:2">
      <c r="A1305" s="23">
        <v>105958</v>
      </c>
      <c r="B1305" s="1" t="s">
        <v>1372</v>
      </c>
    </row>
    <row r="1306" spans="1:2">
      <c r="A1306" s="23">
        <v>105959</v>
      </c>
      <c r="B1306" s="1" t="s">
        <v>1373</v>
      </c>
    </row>
    <row r="1307" spans="1:2">
      <c r="A1307" s="23">
        <v>105960</v>
      </c>
      <c r="B1307" s="1" t="s">
        <v>1374</v>
      </c>
    </row>
    <row r="1308" spans="1:2">
      <c r="A1308" s="23">
        <v>105961</v>
      </c>
      <c r="B1308" s="1" t="s">
        <v>1375</v>
      </c>
    </row>
    <row r="1309" spans="1:2">
      <c r="A1309" s="23">
        <v>105962</v>
      </c>
      <c r="B1309" s="1" t="s">
        <v>1376</v>
      </c>
    </row>
    <row r="1310" spans="1:2">
      <c r="A1310" s="23">
        <v>105963</v>
      </c>
      <c r="B1310" s="1" t="s">
        <v>1377</v>
      </c>
    </row>
    <row r="1311" spans="1:2">
      <c r="A1311" s="23">
        <v>105964</v>
      </c>
      <c r="B1311" s="1" t="s">
        <v>1378</v>
      </c>
    </row>
    <row r="1312" spans="1:2">
      <c r="A1312" s="23">
        <v>105965</v>
      </c>
      <c r="B1312" s="1" t="s">
        <v>1379</v>
      </c>
    </row>
    <row r="1313" spans="1:2">
      <c r="A1313" s="23">
        <v>105966</v>
      </c>
      <c r="B1313" s="1" t="s">
        <v>1380</v>
      </c>
    </row>
    <row r="1314" spans="1:2">
      <c r="A1314" s="23">
        <v>105967</v>
      </c>
      <c r="B1314" s="1" t="s">
        <v>1381</v>
      </c>
    </row>
    <row r="1315" spans="1:2">
      <c r="A1315" s="23">
        <v>105968</v>
      </c>
      <c r="B1315" s="1" t="s">
        <v>1382</v>
      </c>
    </row>
    <row r="1316" spans="1:2">
      <c r="A1316" s="23">
        <v>105969</v>
      </c>
      <c r="B1316" s="1" t="s">
        <v>1383</v>
      </c>
    </row>
    <row r="1317" spans="1:2">
      <c r="A1317" s="23">
        <v>105970</v>
      </c>
      <c r="B1317" s="1" t="s">
        <v>1384</v>
      </c>
    </row>
    <row r="1318" spans="1:2">
      <c r="A1318" s="23">
        <v>105971</v>
      </c>
      <c r="B1318" s="1" t="s">
        <v>1385</v>
      </c>
    </row>
    <row r="1319" spans="1:2">
      <c r="A1319" s="23">
        <v>105972</v>
      </c>
      <c r="B1319" s="1" t="s">
        <v>1386</v>
      </c>
    </row>
    <row r="1320" spans="1:2">
      <c r="A1320" s="23">
        <v>105973</v>
      </c>
      <c r="B1320" s="1" t="s">
        <v>1387</v>
      </c>
    </row>
    <row r="1321" spans="1:2">
      <c r="A1321" s="23">
        <v>105974</v>
      </c>
      <c r="B1321" s="1" t="s">
        <v>1388</v>
      </c>
    </row>
    <row r="1322" spans="1:2">
      <c r="A1322" s="23">
        <v>105975</v>
      </c>
      <c r="B1322" s="1" t="s">
        <v>1389</v>
      </c>
    </row>
    <row r="1323" spans="1:2">
      <c r="A1323" s="23">
        <v>105976</v>
      </c>
      <c r="B1323" s="1" t="s">
        <v>1390</v>
      </c>
    </row>
    <row r="1324" spans="1:2">
      <c r="A1324" s="23">
        <v>105977</v>
      </c>
      <c r="B1324" s="1" t="s">
        <v>1391</v>
      </c>
    </row>
    <row r="1325" spans="1:2">
      <c r="A1325" s="23">
        <v>105978</v>
      </c>
      <c r="B1325" s="1" t="s">
        <v>1392</v>
      </c>
    </row>
    <row r="1326" spans="1:2">
      <c r="A1326" s="23">
        <v>105979</v>
      </c>
      <c r="B1326" s="1" t="s">
        <v>1393</v>
      </c>
    </row>
    <row r="1327" spans="1:2">
      <c r="A1327" s="23">
        <v>105980</v>
      </c>
      <c r="B1327" s="1" t="s">
        <v>1394</v>
      </c>
    </row>
    <row r="1328" spans="1:2">
      <c r="A1328" s="23">
        <v>105981</v>
      </c>
      <c r="B1328" s="1" t="s">
        <v>1395</v>
      </c>
    </row>
    <row r="1329" spans="1:2">
      <c r="A1329" s="23">
        <v>105982</v>
      </c>
      <c r="B1329" s="1" t="s">
        <v>1396</v>
      </c>
    </row>
    <row r="1330" spans="1:2">
      <c r="A1330" s="23">
        <v>105983</v>
      </c>
      <c r="B1330" s="1" t="s">
        <v>1397</v>
      </c>
    </row>
    <row r="1331" spans="1:2">
      <c r="A1331" s="23">
        <v>105984</v>
      </c>
      <c r="B1331" s="1" t="s">
        <v>1398</v>
      </c>
    </row>
    <row r="1332" spans="1:2">
      <c r="A1332" s="23">
        <v>105985</v>
      </c>
      <c r="B1332" s="1" t="s">
        <v>1399</v>
      </c>
    </row>
    <row r="1333" spans="1:2">
      <c r="A1333" s="23">
        <v>105986</v>
      </c>
      <c r="B1333" s="1" t="s">
        <v>1400</v>
      </c>
    </row>
    <row r="1334" spans="1:2">
      <c r="A1334" s="23">
        <v>105987</v>
      </c>
      <c r="B1334" s="1" t="s">
        <v>1401</v>
      </c>
    </row>
    <row r="1335" spans="1:2">
      <c r="A1335" s="23">
        <v>105988</v>
      </c>
      <c r="B1335" s="1" t="s">
        <v>1402</v>
      </c>
    </row>
    <row r="1336" spans="1:2">
      <c r="A1336" s="23">
        <v>105989</v>
      </c>
      <c r="B1336" s="1" t="s">
        <v>1403</v>
      </c>
    </row>
    <row r="1337" spans="1:2">
      <c r="A1337" s="23">
        <v>105990</v>
      </c>
      <c r="B1337" s="1" t="s">
        <v>1404</v>
      </c>
    </row>
    <row r="1338" spans="1:2">
      <c r="A1338" s="23">
        <v>105991</v>
      </c>
      <c r="B1338" s="1" t="s">
        <v>1405</v>
      </c>
    </row>
    <row r="1339" spans="1:2">
      <c r="A1339" s="23">
        <v>105992</v>
      </c>
      <c r="B1339" s="1" t="s">
        <v>1406</v>
      </c>
    </row>
    <row r="1340" spans="1:2">
      <c r="A1340" s="23">
        <v>105993</v>
      </c>
      <c r="B1340" s="1" t="s">
        <v>1407</v>
      </c>
    </row>
    <row r="1341" spans="1:2">
      <c r="A1341" s="23">
        <v>105994</v>
      </c>
      <c r="B1341" s="1" t="s">
        <v>1408</v>
      </c>
    </row>
    <row r="1342" spans="1:2">
      <c r="A1342" s="23">
        <v>105995</v>
      </c>
      <c r="B1342" s="1" t="s">
        <v>1409</v>
      </c>
    </row>
    <row r="1343" spans="1:2">
      <c r="A1343" s="23">
        <v>105996</v>
      </c>
      <c r="B1343" s="1" t="s">
        <v>1410</v>
      </c>
    </row>
    <row r="1344" spans="1:2">
      <c r="A1344" s="23">
        <v>105997</v>
      </c>
      <c r="B1344" s="1" t="s">
        <v>1411</v>
      </c>
    </row>
    <row r="1345" spans="1:2">
      <c r="A1345" s="23">
        <v>105998</v>
      </c>
      <c r="B1345" s="1" t="s">
        <v>1412</v>
      </c>
    </row>
    <row r="1346" spans="1:2">
      <c r="A1346" s="23">
        <v>105999</v>
      </c>
      <c r="B1346" s="1" t="s">
        <v>1413</v>
      </c>
    </row>
    <row r="1347" spans="1:2">
      <c r="A1347" s="23">
        <v>106000</v>
      </c>
      <c r="B1347" s="1" t="s">
        <v>1414</v>
      </c>
    </row>
    <row r="1348" spans="1:2">
      <c r="A1348" s="23">
        <v>106001</v>
      </c>
      <c r="B1348" s="1" t="s">
        <v>1415</v>
      </c>
    </row>
    <row r="1349" spans="1:2">
      <c r="A1349" s="23">
        <v>106002</v>
      </c>
      <c r="B1349" s="1" t="s">
        <v>1416</v>
      </c>
    </row>
    <row r="1350" spans="1:2">
      <c r="A1350" s="23">
        <v>106003</v>
      </c>
      <c r="B1350" s="1" t="s">
        <v>1417</v>
      </c>
    </row>
    <row r="1351" spans="1:2">
      <c r="A1351" s="23">
        <v>106004</v>
      </c>
      <c r="B1351" s="1" t="s">
        <v>1418</v>
      </c>
    </row>
    <row r="1352" spans="1:2">
      <c r="A1352" s="23">
        <v>106005</v>
      </c>
      <c r="B1352" s="1" t="s">
        <v>1419</v>
      </c>
    </row>
    <row r="1353" spans="1:2">
      <c r="A1353" s="23">
        <v>106006</v>
      </c>
      <c r="B1353" s="1" t="s">
        <v>1420</v>
      </c>
    </row>
    <row r="1354" spans="1:2">
      <c r="A1354" s="23">
        <v>106007</v>
      </c>
      <c r="B1354" s="1" t="s">
        <v>1421</v>
      </c>
    </row>
    <row r="1355" spans="1:2">
      <c r="A1355" s="23">
        <v>106008</v>
      </c>
      <c r="B1355" s="1" t="s">
        <v>1422</v>
      </c>
    </row>
    <row r="1356" spans="1:2">
      <c r="A1356" s="23">
        <v>106009</v>
      </c>
      <c r="B1356" s="1" t="s">
        <v>1423</v>
      </c>
    </row>
    <row r="1357" spans="1:2">
      <c r="A1357" s="23">
        <v>106010</v>
      </c>
      <c r="B1357" s="1" t="s">
        <v>1424</v>
      </c>
    </row>
    <row r="1358" spans="1:2">
      <c r="A1358" s="23">
        <v>106011</v>
      </c>
      <c r="B1358" s="1" t="s">
        <v>1425</v>
      </c>
    </row>
    <row r="1359" spans="1:2">
      <c r="A1359" s="23">
        <v>106012</v>
      </c>
      <c r="B1359" s="1" t="s">
        <v>1426</v>
      </c>
    </row>
    <row r="1360" spans="1:2">
      <c r="A1360" s="23">
        <v>106013</v>
      </c>
      <c r="B1360" s="1" t="s">
        <v>1427</v>
      </c>
    </row>
    <row r="1361" spans="1:2">
      <c r="A1361" s="23">
        <v>106014</v>
      </c>
      <c r="B1361" s="1" t="s">
        <v>1428</v>
      </c>
    </row>
    <row r="1362" spans="1:2">
      <c r="A1362" s="23">
        <v>106015</v>
      </c>
      <c r="B1362" s="1" t="s">
        <v>1429</v>
      </c>
    </row>
    <row r="1363" spans="1:2">
      <c r="A1363" s="23">
        <v>106016</v>
      </c>
      <c r="B1363" s="1" t="s">
        <v>1430</v>
      </c>
    </row>
    <row r="1364" spans="1:2">
      <c r="A1364" s="23">
        <v>106017</v>
      </c>
      <c r="B1364" s="1" t="s">
        <v>1431</v>
      </c>
    </row>
    <row r="1365" spans="1:2">
      <c r="A1365" s="23">
        <v>106018</v>
      </c>
      <c r="B1365" s="1" t="s">
        <v>1432</v>
      </c>
    </row>
    <row r="1366" spans="1:2">
      <c r="A1366" s="23">
        <v>106019</v>
      </c>
      <c r="B1366" s="1" t="s">
        <v>1433</v>
      </c>
    </row>
    <row r="1367" spans="1:2">
      <c r="A1367" s="23">
        <v>106020</v>
      </c>
      <c r="B1367" s="1" t="s">
        <v>1434</v>
      </c>
    </row>
    <row r="1368" spans="1:2">
      <c r="A1368" s="23">
        <v>106021</v>
      </c>
      <c r="B1368" s="1" t="s">
        <v>1435</v>
      </c>
    </row>
    <row r="1369" spans="1:2">
      <c r="A1369" s="23">
        <v>106022</v>
      </c>
      <c r="B1369" s="1" t="s">
        <v>1436</v>
      </c>
    </row>
    <row r="1370" spans="1:2">
      <c r="A1370" s="23">
        <v>106023</v>
      </c>
      <c r="B1370" s="1" t="s">
        <v>1437</v>
      </c>
    </row>
    <row r="1371" spans="1:2">
      <c r="A1371" s="23">
        <v>106024</v>
      </c>
      <c r="B1371" s="1" t="s">
        <v>1438</v>
      </c>
    </row>
    <row r="1372" spans="1:2">
      <c r="A1372" s="23">
        <v>106025</v>
      </c>
      <c r="B1372" s="1" t="s">
        <v>1439</v>
      </c>
    </row>
    <row r="1373" spans="1:2">
      <c r="A1373" s="23">
        <v>106026</v>
      </c>
      <c r="B1373" s="1" t="s">
        <v>1440</v>
      </c>
    </row>
    <row r="1374" spans="1:2">
      <c r="A1374" s="23">
        <v>106027</v>
      </c>
      <c r="B1374" s="1" t="s">
        <v>1441</v>
      </c>
    </row>
    <row r="1375" spans="1:2">
      <c r="A1375" s="23">
        <v>106028</v>
      </c>
      <c r="B1375" s="1" t="s">
        <v>1442</v>
      </c>
    </row>
    <row r="1376" spans="1:2">
      <c r="A1376" s="23">
        <v>106029</v>
      </c>
      <c r="B1376" s="1" t="s">
        <v>1443</v>
      </c>
    </row>
    <row r="1377" spans="1:2">
      <c r="A1377" s="23">
        <v>106030</v>
      </c>
      <c r="B1377" s="1" t="s">
        <v>1444</v>
      </c>
    </row>
    <row r="1378" spans="1:2">
      <c r="A1378" s="23">
        <v>106031</v>
      </c>
      <c r="B1378" s="1" t="s">
        <v>1445</v>
      </c>
    </row>
    <row r="1379" spans="1:2">
      <c r="A1379" s="23">
        <v>106032</v>
      </c>
      <c r="B1379" s="1" t="s">
        <v>1446</v>
      </c>
    </row>
    <row r="1380" spans="1:2">
      <c r="A1380" s="23">
        <v>106033</v>
      </c>
      <c r="B1380" s="1" t="s">
        <v>1447</v>
      </c>
    </row>
    <row r="1381" spans="1:2">
      <c r="A1381" s="23">
        <v>106034</v>
      </c>
      <c r="B1381" s="1" t="s">
        <v>1448</v>
      </c>
    </row>
    <row r="1382" spans="1:2">
      <c r="A1382" s="23">
        <v>106035</v>
      </c>
      <c r="B1382" s="1" t="s">
        <v>1449</v>
      </c>
    </row>
    <row r="1383" spans="1:2">
      <c r="A1383" s="23">
        <v>106036</v>
      </c>
      <c r="B1383" s="1" t="s">
        <v>1450</v>
      </c>
    </row>
    <row r="1384" spans="1:2">
      <c r="A1384" s="23">
        <v>106037</v>
      </c>
      <c r="B1384" s="1" t="s">
        <v>1451</v>
      </c>
    </row>
    <row r="1385" spans="1:2">
      <c r="A1385" s="23">
        <v>106038</v>
      </c>
      <c r="B1385" s="1" t="s">
        <v>1452</v>
      </c>
    </row>
    <row r="1386" spans="1:2">
      <c r="A1386" s="23">
        <v>106039</v>
      </c>
      <c r="B1386" s="1" t="s">
        <v>1453</v>
      </c>
    </row>
    <row r="1387" spans="1:2">
      <c r="A1387" s="23">
        <v>106040</v>
      </c>
      <c r="B1387" s="1" t="s">
        <v>1454</v>
      </c>
    </row>
    <row r="1388" spans="1:2">
      <c r="A1388" s="23">
        <v>106041</v>
      </c>
      <c r="B1388" s="1" t="s">
        <v>1455</v>
      </c>
    </row>
    <row r="1389" spans="1:2">
      <c r="A1389" s="23">
        <v>106042</v>
      </c>
      <c r="B1389" s="1" t="s">
        <v>1456</v>
      </c>
    </row>
    <row r="1390" spans="1:2">
      <c r="A1390" s="23">
        <v>106043</v>
      </c>
      <c r="B1390" s="1" t="s">
        <v>1457</v>
      </c>
    </row>
    <row r="1391" spans="1:2">
      <c r="A1391" s="23">
        <v>106044</v>
      </c>
      <c r="B1391" s="1" t="s">
        <v>1458</v>
      </c>
    </row>
    <row r="1392" spans="1:2">
      <c r="A1392" s="23">
        <v>106045</v>
      </c>
      <c r="B1392" s="1" t="s">
        <v>1459</v>
      </c>
    </row>
    <row r="1393" spans="1:2">
      <c r="A1393" s="23">
        <v>106046</v>
      </c>
      <c r="B1393" s="1" t="s">
        <v>1460</v>
      </c>
    </row>
    <row r="1394" spans="1:2">
      <c r="A1394" s="23">
        <v>106047</v>
      </c>
      <c r="B1394" s="1" t="s">
        <v>1461</v>
      </c>
    </row>
    <row r="1395" spans="1:2">
      <c r="A1395" s="23">
        <v>106048</v>
      </c>
      <c r="B1395" s="1" t="s">
        <v>1462</v>
      </c>
    </row>
    <row r="1396" spans="1:2">
      <c r="A1396" s="23">
        <v>106049</v>
      </c>
      <c r="B1396" s="1" t="s">
        <v>1463</v>
      </c>
    </row>
    <row r="1397" spans="1:2">
      <c r="A1397" s="23">
        <v>106050</v>
      </c>
      <c r="B1397" s="1" t="s">
        <v>1464</v>
      </c>
    </row>
    <row r="1398" spans="1:2">
      <c r="A1398" s="23">
        <v>106051</v>
      </c>
      <c r="B1398" s="1" t="s">
        <v>1465</v>
      </c>
    </row>
    <row r="1399" spans="1:2">
      <c r="A1399" s="23">
        <v>106052</v>
      </c>
      <c r="B1399" s="1" t="s">
        <v>1466</v>
      </c>
    </row>
    <row r="1400" spans="1:2">
      <c r="A1400" s="23">
        <v>106053</v>
      </c>
      <c r="B1400" s="1" t="s">
        <v>1467</v>
      </c>
    </row>
    <row r="1401" spans="1:2">
      <c r="A1401" s="23">
        <v>106054</v>
      </c>
      <c r="B1401" s="1" t="s">
        <v>1468</v>
      </c>
    </row>
    <row r="1402" spans="1:2">
      <c r="A1402" s="23">
        <v>106055</v>
      </c>
      <c r="B1402" s="1" t="s">
        <v>1469</v>
      </c>
    </row>
    <row r="1403" spans="1:2">
      <c r="A1403" s="23">
        <v>106056</v>
      </c>
      <c r="B1403" s="1" t="s">
        <v>1470</v>
      </c>
    </row>
    <row r="1404" spans="1:2">
      <c r="A1404" s="23">
        <v>106057</v>
      </c>
      <c r="B1404" s="1" t="s">
        <v>1471</v>
      </c>
    </row>
    <row r="1405" spans="1:2">
      <c r="A1405" s="23">
        <v>106058</v>
      </c>
      <c r="B1405" s="1" t="s">
        <v>1472</v>
      </c>
    </row>
    <row r="1406" spans="1:2">
      <c r="A1406" s="23">
        <v>106059</v>
      </c>
      <c r="B1406" s="1" t="s">
        <v>1473</v>
      </c>
    </row>
    <row r="1407" spans="1:2">
      <c r="A1407" s="23">
        <v>106060</v>
      </c>
      <c r="B1407" s="1" t="s">
        <v>1474</v>
      </c>
    </row>
    <row r="1408" spans="1:2">
      <c r="A1408" s="23">
        <v>106061</v>
      </c>
      <c r="B1408" s="1" t="s">
        <v>1475</v>
      </c>
    </row>
    <row r="1409" spans="1:2">
      <c r="A1409" s="23">
        <v>106062</v>
      </c>
      <c r="B1409" s="1" t="s">
        <v>1476</v>
      </c>
    </row>
    <row r="1410" spans="1:2">
      <c r="A1410" s="23">
        <v>106063</v>
      </c>
      <c r="B1410" s="1" t="s">
        <v>1477</v>
      </c>
    </row>
    <row r="1411" spans="1:2">
      <c r="A1411" s="23">
        <v>106064</v>
      </c>
      <c r="B1411" s="1" t="s">
        <v>1478</v>
      </c>
    </row>
    <row r="1412" spans="1:2">
      <c r="A1412" s="23">
        <v>106065</v>
      </c>
      <c r="B1412" s="1" t="s">
        <v>1479</v>
      </c>
    </row>
    <row r="1413" spans="1:2">
      <c r="A1413" s="23">
        <v>106066</v>
      </c>
      <c r="B1413" s="1" t="s">
        <v>1480</v>
      </c>
    </row>
    <row r="1414" spans="1:2">
      <c r="A1414" s="23">
        <v>106067</v>
      </c>
      <c r="B1414" s="1" t="s">
        <v>1481</v>
      </c>
    </row>
    <row r="1415" spans="1:2">
      <c r="A1415" s="23">
        <v>106068</v>
      </c>
      <c r="B1415" s="1" t="s">
        <v>1482</v>
      </c>
    </row>
    <row r="1416" spans="1:2">
      <c r="A1416" s="23">
        <v>106069</v>
      </c>
      <c r="B1416" s="1" t="s">
        <v>1483</v>
      </c>
    </row>
    <row r="1417" spans="1:2">
      <c r="A1417" s="23">
        <v>106070</v>
      </c>
      <c r="B1417" s="1" t="s">
        <v>1484</v>
      </c>
    </row>
    <row r="1418" spans="1:2">
      <c r="A1418" s="23">
        <v>106071</v>
      </c>
      <c r="B1418" s="1" t="s">
        <v>1485</v>
      </c>
    </row>
    <row r="1419" spans="1:2">
      <c r="A1419" s="23">
        <v>106072</v>
      </c>
      <c r="B1419" s="1" t="s">
        <v>1486</v>
      </c>
    </row>
    <row r="1420" spans="1:2">
      <c r="A1420" s="23">
        <v>106073</v>
      </c>
      <c r="B1420" s="1" t="s">
        <v>1487</v>
      </c>
    </row>
    <row r="1421" spans="1:2">
      <c r="A1421" s="23">
        <v>106074</v>
      </c>
      <c r="B1421" s="1" t="s">
        <v>1488</v>
      </c>
    </row>
    <row r="1422" spans="1:2">
      <c r="A1422" s="23">
        <v>106075</v>
      </c>
      <c r="B1422" s="1" t="s">
        <v>1489</v>
      </c>
    </row>
    <row r="1423" spans="1:2">
      <c r="A1423" s="23">
        <v>106076</v>
      </c>
      <c r="B1423" s="1" t="s">
        <v>1490</v>
      </c>
    </row>
    <row r="1424" spans="1:2">
      <c r="A1424" s="23">
        <v>106077</v>
      </c>
      <c r="B1424" s="1" t="s">
        <v>1491</v>
      </c>
    </row>
    <row r="1425" spans="1:2">
      <c r="A1425" s="23">
        <v>106078</v>
      </c>
      <c r="B1425" s="1" t="s">
        <v>1492</v>
      </c>
    </row>
    <row r="1426" spans="1:2">
      <c r="A1426" s="23">
        <v>106079</v>
      </c>
      <c r="B1426" s="1" t="s">
        <v>1493</v>
      </c>
    </row>
    <row r="1427" spans="1:2">
      <c r="A1427" s="23">
        <v>106080</v>
      </c>
      <c r="B1427" s="1" t="s">
        <v>1494</v>
      </c>
    </row>
    <row r="1428" spans="1:2">
      <c r="A1428" s="23">
        <v>106081</v>
      </c>
      <c r="B1428" s="1" t="s">
        <v>1495</v>
      </c>
    </row>
    <row r="1429" spans="1:2">
      <c r="A1429" s="23">
        <v>106082</v>
      </c>
      <c r="B1429" s="1" t="s">
        <v>1496</v>
      </c>
    </row>
    <row r="1430" spans="1:2">
      <c r="A1430" s="23">
        <v>106083</v>
      </c>
      <c r="B1430" s="1" t="s">
        <v>1497</v>
      </c>
    </row>
    <row r="1431" spans="1:2">
      <c r="A1431" s="23">
        <v>106084</v>
      </c>
      <c r="B1431" s="1" t="s">
        <v>1498</v>
      </c>
    </row>
    <row r="1432" spans="1:2">
      <c r="A1432" s="23">
        <v>106085</v>
      </c>
      <c r="B1432" s="1" t="s">
        <v>1499</v>
      </c>
    </row>
    <row r="1433" spans="1:2">
      <c r="A1433" s="23">
        <v>106086</v>
      </c>
      <c r="B1433" s="1" t="s">
        <v>1500</v>
      </c>
    </row>
    <row r="1434" spans="1:2">
      <c r="A1434" s="23">
        <v>106087</v>
      </c>
      <c r="B1434" s="1" t="s">
        <v>1501</v>
      </c>
    </row>
    <row r="1435" spans="1:2">
      <c r="A1435" s="23">
        <v>106088</v>
      </c>
      <c r="B1435" s="1" t="s">
        <v>1502</v>
      </c>
    </row>
    <row r="1436" spans="1:2">
      <c r="A1436" s="23">
        <v>106089</v>
      </c>
      <c r="B1436" s="1" t="s">
        <v>1503</v>
      </c>
    </row>
    <row r="1437" spans="1:2">
      <c r="A1437" s="23">
        <v>106090</v>
      </c>
      <c r="B1437" s="1" t="s">
        <v>1504</v>
      </c>
    </row>
    <row r="1438" spans="1:2">
      <c r="A1438" s="23">
        <v>106091</v>
      </c>
      <c r="B1438" s="1" t="s">
        <v>1505</v>
      </c>
    </row>
    <row r="1439" spans="1:2">
      <c r="A1439" s="23">
        <v>106092</v>
      </c>
      <c r="B1439" s="1" t="s">
        <v>1506</v>
      </c>
    </row>
    <row r="1440" spans="1:2">
      <c r="A1440" s="23">
        <v>106093</v>
      </c>
      <c r="B1440" s="1" t="s">
        <v>1507</v>
      </c>
    </row>
    <row r="1441" spans="1:2">
      <c r="A1441" s="23">
        <v>106094</v>
      </c>
      <c r="B1441" s="1" t="s">
        <v>1508</v>
      </c>
    </row>
    <row r="1442" spans="1:2">
      <c r="A1442" s="23">
        <v>106095</v>
      </c>
      <c r="B1442" s="1" t="s">
        <v>1509</v>
      </c>
    </row>
    <row r="1443" spans="1:2">
      <c r="A1443" s="23">
        <v>106096</v>
      </c>
      <c r="B1443" s="1" t="s">
        <v>1510</v>
      </c>
    </row>
    <row r="1444" spans="1:2">
      <c r="A1444" s="23">
        <v>106097</v>
      </c>
      <c r="B1444" s="1" t="s">
        <v>1511</v>
      </c>
    </row>
    <row r="1445" spans="1:2">
      <c r="A1445" s="23">
        <v>106098</v>
      </c>
      <c r="B1445" s="1" t="s">
        <v>1512</v>
      </c>
    </row>
    <row r="1446" spans="1:2">
      <c r="A1446" s="23">
        <v>106099</v>
      </c>
      <c r="B1446" s="1" t="s">
        <v>1513</v>
      </c>
    </row>
    <row r="1447" spans="1:2">
      <c r="A1447" s="23">
        <v>106100</v>
      </c>
      <c r="B1447" s="1" t="s">
        <v>1514</v>
      </c>
    </row>
    <row r="1448" spans="1:2">
      <c r="A1448" s="23">
        <v>106101</v>
      </c>
      <c r="B1448" s="1" t="s">
        <v>1515</v>
      </c>
    </row>
    <row r="1449" spans="1:2">
      <c r="A1449" s="23">
        <v>106102</v>
      </c>
      <c r="B1449" s="1" t="s">
        <v>1516</v>
      </c>
    </row>
    <row r="1450" spans="1:2">
      <c r="A1450" s="23">
        <v>106103</v>
      </c>
      <c r="B1450" s="1" t="s">
        <v>1517</v>
      </c>
    </row>
    <row r="1451" spans="1:2">
      <c r="A1451" s="23">
        <v>106104</v>
      </c>
      <c r="B1451" s="1" t="s">
        <v>1518</v>
      </c>
    </row>
    <row r="1452" spans="1:2">
      <c r="A1452" s="23">
        <v>106105</v>
      </c>
      <c r="B1452" s="1" t="s">
        <v>1519</v>
      </c>
    </row>
    <row r="1453" spans="1:2">
      <c r="A1453" s="23">
        <v>106106</v>
      </c>
      <c r="B1453" s="1" t="s">
        <v>1520</v>
      </c>
    </row>
    <row r="1454" spans="1:2">
      <c r="A1454" s="23">
        <v>106107</v>
      </c>
      <c r="B1454" s="1" t="s">
        <v>1521</v>
      </c>
    </row>
    <row r="1455" spans="1:2">
      <c r="A1455" s="23">
        <v>106108</v>
      </c>
      <c r="B1455" s="1" t="s">
        <v>1522</v>
      </c>
    </row>
    <row r="1456" spans="1:2">
      <c r="A1456" s="23">
        <v>106109</v>
      </c>
      <c r="B1456" s="1" t="s">
        <v>1523</v>
      </c>
    </row>
    <row r="1457" spans="1:2">
      <c r="A1457" s="23">
        <v>106110</v>
      </c>
      <c r="B1457" s="1" t="s">
        <v>1524</v>
      </c>
    </row>
    <row r="1458" spans="1:2">
      <c r="A1458" s="23">
        <v>106111</v>
      </c>
      <c r="B1458" s="1" t="s">
        <v>1525</v>
      </c>
    </row>
    <row r="1459" spans="1:2">
      <c r="A1459" s="23">
        <v>106112</v>
      </c>
      <c r="B1459" s="1" t="s">
        <v>1526</v>
      </c>
    </row>
    <row r="1460" spans="1:2">
      <c r="A1460" s="23">
        <v>106113</v>
      </c>
      <c r="B1460" s="1" t="s">
        <v>1527</v>
      </c>
    </row>
    <row r="1461" spans="1:2">
      <c r="A1461" s="23">
        <v>106114</v>
      </c>
      <c r="B1461" s="1" t="s">
        <v>1528</v>
      </c>
    </row>
    <row r="1462" spans="1:2">
      <c r="A1462" s="23">
        <v>106115</v>
      </c>
      <c r="B1462" s="1" t="s">
        <v>1529</v>
      </c>
    </row>
    <row r="1463" spans="1:2">
      <c r="A1463" s="23">
        <v>106116</v>
      </c>
      <c r="B1463" s="1" t="s">
        <v>1530</v>
      </c>
    </row>
    <row r="1464" spans="1:2">
      <c r="A1464" s="23">
        <v>106117</v>
      </c>
      <c r="B1464" s="1" t="s">
        <v>1531</v>
      </c>
    </row>
    <row r="1465" spans="1:2">
      <c r="A1465" s="23">
        <v>106118</v>
      </c>
      <c r="B1465" s="1" t="s">
        <v>1532</v>
      </c>
    </row>
    <row r="1466" spans="1:2">
      <c r="A1466" s="23">
        <v>106119</v>
      </c>
      <c r="B1466" s="1" t="s">
        <v>1533</v>
      </c>
    </row>
    <row r="1467" spans="1:2">
      <c r="A1467" s="23">
        <v>106120</v>
      </c>
      <c r="B1467" s="1" t="s">
        <v>1534</v>
      </c>
    </row>
    <row r="1468" spans="1:2">
      <c r="A1468" s="23">
        <v>106121</v>
      </c>
      <c r="B1468" s="1" t="s">
        <v>1535</v>
      </c>
    </row>
    <row r="1469" spans="1:2">
      <c r="A1469" s="23">
        <v>106122</v>
      </c>
      <c r="B1469" s="1" t="s">
        <v>1536</v>
      </c>
    </row>
    <row r="1470" spans="1:2">
      <c r="A1470" s="23">
        <v>106123</v>
      </c>
      <c r="B1470" s="1" t="s">
        <v>1537</v>
      </c>
    </row>
    <row r="1471" spans="1:2">
      <c r="A1471" s="23">
        <v>106124</v>
      </c>
      <c r="B1471" s="1" t="s">
        <v>1538</v>
      </c>
    </row>
    <row r="1472" spans="1:2">
      <c r="A1472" s="23">
        <v>106125</v>
      </c>
      <c r="B1472" s="1" t="s">
        <v>1539</v>
      </c>
    </row>
    <row r="1473" spans="1:2">
      <c r="A1473" s="23">
        <v>106126</v>
      </c>
      <c r="B1473" s="1" t="s">
        <v>1540</v>
      </c>
    </row>
    <row r="1474" spans="1:2">
      <c r="A1474" s="23">
        <v>106127</v>
      </c>
      <c r="B1474" s="1" t="s">
        <v>1541</v>
      </c>
    </row>
    <row r="1475" spans="1:2">
      <c r="A1475" s="23">
        <v>106128</v>
      </c>
      <c r="B1475" s="1" t="s">
        <v>1542</v>
      </c>
    </row>
    <row r="1476" spans="1:2">
      <c r="A1476" s="23">
        <v>106129</v>
      </c>
      <c r="B1476" s="1" t="s">
        <v>1543</v>
      </c>
    </row>
    <row r="1477" spans="1:2">
      <c r="A1477" s="23">
        <v>106130</v>
      </c>
      <c r="B1477" s="1" t="s">
        <v>1544</v>
      </c>
    </row>
    <row r="1478" spans="1:2">
      <c r="A1478" s="23">
        <v>106131</v>
      </c>
      <c r="B1478" s="1" t="s">
        <v>1545</v>
      </c>
    </row>
    <row r="1479" spans="1:2">
      <c r="A1479" s="23">
        <v>106132</v>
      </c>
      <c r="B1479" s="1" t="s">
        <v>1546</v>
      </c>
    </row>
    <row r="1480" spans="1:2">
      <c r="A1480" s="23">
        <v>106133</v>
      </c>
      <c r="B1480" s="1" t="s">
        <v>1547</v>
      </c>
    </row>
    <row r="1481" spans="1:2">
      <c r="A1481" s="23">
        <v>106134</v>
      </c>
      <c r="B1481" s="1" t="s">
        <v>1548</v>
      </c>
    </row>
    <row r="1482" spans="1:2">
      <c r="A1482" s="23">
        <v>106135</v>
      </c>
      <c r="B1482" s="1" t="s">
        <v>1549</v>
      </c>
    </row>
    <row r="1483" spans="1:2">
      <c r="A1483" s="23">
        <v>106136</v>
      </c>
      <c r="B1483" s="1" t="s">
        <v>1550</v>
      </c>
    </row>
    <row r="1484" spans="1:2">
      <c r="A1484" s="23">
        <v>106137</v>
      </c>
      <c r="B1484" s="1" t="s">
        <v>1551</v>
      </c>
    </row>
    <row r="1485" spans="1:2">
      <c r="A1485" s="23">
        <v>106138</v>
      </c>
      <c r="B1485" s="1" t="s">
        <v>1552</v>
      </c>
    </row>
    <row r="1486" spans="1:2">
      <c r="A1486" s="23">
        <v>106139</v>
      </c>
      <c r="B1486" s="1" t="s">
        <v>1553</v>
      </c>
    </row>
    <row r="1487" spans="1:2">
      <c r="A1487" s="23">
        <v>106140</v>
      </c>
      <c r="B1487" s="1" t="s">
        <v>1554</v>
      </c>
    </row>
    <row r="1488" spans="1:2">
      <c r="A1488" s="23">
        <v>106141</v>
      </c>
      <c r="B1488" s="1" t="s">
        <v>1555</v>
      </c>
    </row>
    <row r="1489" spans="1:2">
      <c r="A1489" s="23">
        <v>106142</v>
      </c>
      <c r="B1489" s="1" t="s">
        <v>1556</v>
      </c>
    </row>
    <row r="1490" spans="1:2">
      <c r="A1490" s="23">
        <v>106143</v>
      </c>
      <c r="B1490" s="1" t="s">
        <v>1557</v>
      </c>
    </row>
    <row r="1491" spans="1:2">
      <c r="A1491" s="23">
        <v>106144</v>
      </c>
      <c r="B1491" s="1" t="s">
        <v>1558</v>
      </c>
    </row>
    <row r="1492" spans="1:2">
      <c r="A1492" s="23">
        <v>106145</v>
      </c>
      <c r="B1492" s="1" t="s">
        <v>1559</v>
      </c>
    </row>
    <row r="1493" spans="1:2">
      <c r="A1493" s="23">
        <v>106146</v>
      </c>
      <c r="B1493" s="1" t="s">
        <v>1560</v>
      </c>
    </row>
    <row r="1494" spans="1:2">
      <c r="A1494" s="23">
        <v>106147</v>
      </c>
      <c r="B1494" s="1" t="s">
        <v>1561</v>
      </c>
    </row>
    <row r="1495" spans="1:2">
      <c r="A1495" s="23">
        <v>106148</v>
      </c>
      <c r="B1495" s="1" t="s">
        <v>1562</v>
      </c>
    </row>
    <row r="1496" spans="1:2">
      <c r="A1496" s="23">
        <v>106149</v>
      </c>
      <c r="B1496" s="1" t="s">
        <v>1563</v>
      </c>
    </row>
    <row r="1497" spans="1:2">
      <c r="A1497" s="23">
        <v>106150</v>
      </c>
      <c r="B1497" s="1" t="s">
        <v>1564</v>
      </c>
    </row>
    <row r="1498" spans="1:2">
      <c r="A1498" s="23">
        <v>106151</v>
      </c>
      <c r="B1498" s="1" t="s">
        <v>1565</v>
      </c>
    </row>
    <row r="1499" spans="1:2">
      <c r="A1499" s="23">
        <v>106152</v>
      </c>
      <c r="B1499" s="1" t="s">
        <v>1566</v>
      </c>
    </row>
    <row r="1500" spans="1:2">
      <c r="A1500" s="23">
        <v>106153</v>
      </c>
      <c r="B1500" s="1" t="s">
        <v>1567</v>
      </c>
    </row>
    <row r="1501" spans="1:2">
      <c r="A1501" s="23">
        <v>106154</v>
      </c>
      <c r="B1501" s="1" t="s">
        <v>1568</v>
      </c>
    </row>
    <row r="1502" spans="1:2">
      <c r="A1502" s="23">
        <v>106155</v>
      </c>
      <c r="B1502" s="1" t="s">
        <v>1569</v>
      </c>
    </row>
    <row r="1503" spans="1:2">
      <c r="A1503" s="23">
        <v>106156</v>
      </c>
      <c r="B1503" s="1" t="s">
        <v>1570</v>
      </c>
    </row>
    <row r="1504" spans="1:2">
      <c r="A1504" s="23">
        <v>106157</v>
      </c>
      <c r="B1504" s="1" t="s">
        <v>1571</v>
      </c>
    </row>
    <row r="1505" spans="1:2">
      <c r="A1505" s="23">
        <v>106158</v>
      </c>
      <c r="B1505" s="1" t="s">
        <v>1572</v>
      </c>
    </row>
    <row r="1506" spans="1:2">
      <c r="A1506" s="23">
        <v>106159</v>
      </c>
      <c r="B1506" s="1" t="s">
        <v>1573</v>
      </c>
    </row>
    <row r="1507" spans="1:2">
      <c r="A1507" s="23">
        <v>106160</v>
      </c>
      <c r="B1507" s="1" t="s">
        <v>1574</v>
      </c>
    </row>
    <row r="1508" spans="1:2">
      <c r="A1508" s="23">
        <v>106161</v>
      </c>
      <c r="B1508" s="1" t="s">
        <v>1575</v>
      </c>
    </row>
    <row r="1509" spans="1:2">
      <c r="A1509" s="23">
        <v>106162</v>
      </c>
      <c r="B1509" s="1" t="s">
        <v>1576</v>
      </c>
    </row>
    <row r="1510" spans="1:2">
      <c r="A1510" s="23">
        <v>106163</v>
      </c>
      <c r="B1510" s="1" t="s">
        <v>1577</v>
      </c>
    </row>
    <row r="1511" spans="1:2">
      <c r="A1511" s="23">
        <v>106164</v>
      </c>
      <c r="B1511" s="1" t="s">
        <v>1578</v>
      </c>
    </row>
    <row r="1512" spans="1:2">
      <c r="A1512" s="23">
        <v>106165</v>
      </c>
      <c r="B1512" s="1" t="s">
        <v>1579</v>
      </c>
    </row>
    <row r="1513" spans="1:2">
      <c r="A1513" s="23">
        <v>106166</v>
      </c>
      <c r="B1513" s="1" t="s">
        <v>1580</v>
      </c>
    </row>
    <row r="1514" spans="1:2">
      <c r="A1514" s="23">
        <v>106167</v>
      </c>
      <c r="B1514" s="1" t="s">
        <v>1581</v>
      </c>
    </row>
    <row r="1515" spans="1:2">
      <c r="A1515" s="23">
        <v>106168</v>
      </c>
      <c r="B1515" s="1" t="s">
        <v>1582</v>
      </c>
    </row>
    <row r="1516" spans="1:2">
      <c r="A1516" s="23">
        <v>106169</v>
      </c>
      <c r="B1516" s="1" t="s">
        <v>1583</v>
      </c>
    </row>
    <row r="1517" spans="1:2">
      <c r="A1517" s="23">
        <v>106170</v>
      </c>
      <c r="B1517" s="1" t="s">
        <v>1584</v>
      </c>
    </row>
    <row r="1518" spans="1:2">
      <c r="A1518" s="23">
        <v>106171</v>
      </c>
      <c r="B1518" s="1" t="s">
        <v>1585</v>
      </c>
    </row>
    <row r="1519" spans="1:2">
      <c r="A1519" s="23">
        <v>106172</v>
      </c>
      <c r="B1519" s="1" t="s">
        <v>1586</v>
      </c>
    </row>
    <row r="1520" spans="1:2">
      <c r="A1520" s="23">
        <v>106173</v>
      </c>
      <c r="B1520" s="1" t="s">
        <v>1587</v>
      </c>
    </row>
    <row r="1521" spans="1:2">
      <c r="A1521" s="23">
        <v>106174</v>
      </c>
      <c r="B1521" s="1" t="s">
        <v>1588</v>
      </c>
    </row>
    <row r="1522" spans="1:2">
      <c r="A1522" s="23">
        <v>106175</v>
      </c>
      <c r="B1522" s="1" t="s">
        <v>1589</v>
      </c>
    </row>
    <row r="1523" spans="1:2">
      <c r="A1523" s="23">
        <v>106176</v>
      </c>
      <c r="B1523" s="1" t="s">
        <v>1590</v>
      </c>
    </row>
    <row r="1524" spans="1:2">
      <c r="A1524" s="23">
        <v>106177</v>
      </c>
      <c r="B1524" s="1" t="s">
        <v>1591</v>
      </c>
    </row>
    <row r="1525" spans="1:2">
      <c r="A1525" s="23">
        <v>106178</v>
      </c>
      <c r="B1525" s="1" t="s">
        <v>1592</v>
      </c>
    </row>
    <row r="1526" spans="1:2">
      <c r="A1526" s="23">
        <v>106179</v>
      </c>
      <c r="B1526" s="1" t="s">
        <v>1593</v>
      </c>
    </row>
    <row r="1527" spans="1:2">
      <c r="A1527" s="23">
        <v>106180</v>
      </c>
      <c r="B1527" s="1" t="s">
        <v>1594</v>
      </c>
    </row>
    <row r="1528" spans="1:2">
      <c r="A1528" s="23">
        <v>106181</v>
      </c>
      <c r="B1528" s="1" t="s">
        <v>1595</v>
      </c>
    </row>
    <row r="1529" spans="1:2">
      <c r="A1529" s="23">
        <v>106182</v>
      </c>
      <c r="B1529" s="1" t="s">
        <v>1596</v>
      </c>
    </row>
    <row r="1530" spans="1:2">
      <c r="A1530" s="23">
        <v>106183</v>
      </c>
      <c r="B1530" s="1" t="s">
        <v>1597</v>
      </c>
    </row>
    <row r="1531" spans="1:2">
      <c r="A1531" s="23">
        <v>106184</v>
      </c>
      <c r="B1531" s="1" t="s">
        <v>1598</v>
      </c>
    </row>
    <row r="1532" spans="1:2">
      <c r="A1532" s="23">
        <v>106185</v>
      </c>
      <c r="B1532" s="1" t="s">
        <v>1599</v>
      </c>
    </row>
    <row r="1533" spans="1:2">
      <c r="A1533" s="23">
        <v>106186</v>
      </c>
      <c r="B1533" s="1" t="s">
        <v>1600</v>
      </c>
    </row>
    <row r="1534" spans="1:2">
      <c r="A1534" s="23">
        <v>106187</v>
      </c>
      <c r="B1534" s="1" t="s">
        <v>1601</v>
      </c>
    </row>
    <row r="1535" spans="1:2">
      <c r="A1535" s="23">
        <v>106188</v>
      </c>
      <c r="B1535" s="1" t="s">
        <v>1602</v>
      </c>
    </row>
    <row r="1536" spans="1:2">
      <c r="A1536" s="23">
        <v>106189</v>
      </c>
      <c r="B1536" s="1" t="s">
        <v>1603</v>
      </c>
    </row>
    <row r="1537" spans="1:2">
      <c r="A1537" s="23">
        <v>106190</v>
      </c>
      <c r="B1537" s="1" t="s">
        <v>1604</v>
      </c>
    </row>
    <row r="1538" spans="1:2">
      <c r="A1538" s="23">
        <v>106191</v>
      </c>
      <c r="B1538" s="1" t="s">
        <v>1605</v>
      </c>
    </row>
    <row r="1539" spans="1:2">
      <c r="A1539" s="23">
        <v>106192</v>
      </c>
      <c r="B1539" s="1" t="s">
        <v>1606</v>
      </c>
    </row>
    <row r="1540" spans="1:2">
      <c r="A1540" s="23">
        <v>106193</v>
      </c>
      <c r="B1540" s="1" t="s">
        <v>1607</v>
      </c>
    </row>
    <row r="1541" spans="1:2">
      <c r="A1541" s="23">
        <v>106194</v>
      </c>
      <c r="B1541" s="1" t="s">
        <v>1608</v>
      </c>
    </row>
    <row r="1542" spans="1:2">
      <c r="A1542" s="23">
        <v>106195</v>
      </c>
      <c r="B1542" s="1" t="s">
        <v>1609</v>
      </c>
    </row>
    <row r="1543" spans="1:2">
      <c r="A1543" s="23">
        <v>106196</v>
      </c>
      <c r="B1543" s="1" t="s">
        <v>1610</v>
      </c>
    </row>
    <row r="1544" spans="1:2">
      <c r="A1544" s="23">
        <v>106197</v>
      </c>
      <c r="B1544" s="1" t="s">
        <v>1611</v>
      </c>
    </row>
    <row r="1545" spans="1:2">
      <c r="A1545" s="23">
        <v>106198</v>
      </c>
      <c r="B1545" s="1" t="s">
        <v>1612</v>
      </c>
    </row>
    <row r="1546" spans="1:2">
      <c r="A1546" s="23">
        <v>106199</v>
      </c>
      <c r="B1546" s="1" t="s">
        <v>1613</v>
      </c>
    </row>
    <row r="1547" spans="1:2">
      <c r="A1547" s="23">
        <v>106200</v>
      </c>
      <c r="B1547" s="1" t="s">
        <v>1614</v>
      </c>
    </row>
    <row r="1548" spans="1:2">
      <c r="A1548" s="23">
        <v>106201</v>
      </c>
      <c r="B1548" s="1" t="s">
        <v>1615</v>
      </c>
    </row>
    <row r="1549" spans="1:2">
      <c r="A1549" s="23">
        <v>106202</v>
      </c>
      <c r="B1549" s="1" t="s">
        <v>1616</v>
      </c>
    </row>
    <row r="1550" spans="1:2">
      <c r="A1550" s="23">
        <v>106203</v>
      </c>
      <c r="B1550" s="1" t="s">
        <v>1617</v>
      </c>
    </row>
    <row r="1551" spans="1:2">
      <c r="A1551" s="23">
        <v>106204</v>
      </c>
      <c r="B1551" s="1" t="s">
        <v>1618</v>
      </c>
    </row>
    <row r="1552" spans="1:2">
      <c r="A1552" s="23">
        <v>106205</v>
      </c>
      <c r="B1552" s="1" t="s">
        <v>1619</v>
      </c>
    </row>
    <row r="1553" spans="1:2">
      <c r="A1553" s="23">
        <v>106206</v>
      </c>
      <c r="B1553" s="1" t="s">
        <v>1620</v>
      </c>
    </row>
    <row r="1554" spans="1:2">
      <c r="A1554" s="23">
        <v>106207</v>
      </c>
      <c r="B1554" s="1" t="s">
        <v>1621</v>
      </c>
    </row>
    <row r="1555" spans="1:2">
      <c r="A1555" s="23">
        <v>106208</v>
      </c>
      <c r="B1555" s="1" t="s">
        <v>1622</v>
      </c>
    </row>
    <row r="1556" spans="1:2">
      <c r="A1556" s="23">
        <v>106209</v>
      </c>
      <c r="B1556" s="1" t="s">
        <v>1623</v>
      </c>
    </row>
    <row r="1557" spans="1:2">
      <c r="A1557" s="23">
        <v>106210</v>
      </c>
      <c r="B1557" s="1" t="s">
        <v>1624</v>
      </c>
    </row>
    <row r="1558" spans="1:2">
      <c r="A1558" s="23">
        <v>106211</v>
      </c>
      <c r="B1558" s="1" t="s">
        <v>1625</v>
      </c>
    </row>
    <row r="1559" spans="1:2">
      <c r="A1559" s="23">
        <v>106212</v>
      </c>
      <c r="B1559" s="1" t="s">
        <v>1626</v>
      </c>
    </row>
    <row r="1560" spans="1:2">
      <c r="A1560" s="23">
        <v>106213</v>
      </c>
      <c r="B1560" s="1" t="s">
        <v>1627</v>
      </c>
    </row>
    <row r="1561" spans="1:2">
      <c r="A1561" s="23">
        <v>106214</v>
      </c>
      <c r="B1561" s="1" t="s">
        <v>1628</v>
      </c>
    </row>
    <row r="1562" spans="1:2">
      <c r="A1562" s="23">
        <v>106215</v>
      </c>
      <c r="B1562" s="1" t="s">
        <v>1629</v>
      </c>
    </row>
    <row r="1563" spans="1:2">
      <c r="A1563" s="23">
        <v>106216</v>
      </c>
      <c r="B1563" s="1" t="s">
        <v>1630</v>
      </c>
    </row>
    <row r="1564" spans="1:2">
      <c r="A1564" s="23">
        <v>106217</v>
      </c>
      <c r="B1564" s="1" t="s">
        <v>1631</v>
      </c>
    </row>
    <row r="1565" spans="1:2">
      <c r="A1565" s="23">
        <v>106218</v>
      </c>
      <c r="B1565" s="1" t="s">
        <v>1632</v>
      </c>
    </row>
    <row r="1566" spans="1:2">
      <c r="A1566" s="23">
        <v>106219</v>
      </c>
      <c r="B1566" s="1" t="s">
        <v>1633</v>
      </c>
    </row>
    <row r="1567" spans="1:2">
      <c r="A1567" s="23">
        <v>106220</v>
      </c>
      <c r="B1567" s="1" t="s">
        <v>1634</v>
      </c>
    </row>
    <row r="1568" spans="1:2">
      <c r="A1568" s="23">
        <v>106221</v>
      </c>
      <c r="B1568" s="1" t="s">
        <v>1635</v>
      </c>
    </row>
    <row r="1569" spans="1:2">
      <c r="A1569" s="23">
        <v>106222</v>
      </c>
      <c r="B1569" s="1" t="s">
        <v>1636</v>
      </c>
    </row>
    <row r="1570" spans="1:2">
      <c r="A1570" s="23">
        <v>106223</v>
      </c>
      <c r="B1570" s="1" t="s">
        <v>1637</v>
      </c>
    </row>
    <row r="1571" spans="1:2">
      <c r="A1571" s="23">
        <v>106224</v>
      </c>
      <c r="B1571" s="1" t="s">
        <v>1638</v>
      </c>
    </row>
    <row r="1572" spans="1:2">
      <c r="A1572" s="23">
        <v>106225</v>
      </c>
      <c r="B1572" s="1" t="s">
        <v>1639</v>
      </c>
    </row>
    <row r="1573" spans="1:2">
      <c r="A1573" s="23">
        <v>106226</v>
      </c>
      <c r="B1573" s="1" t="s">
        <v>1640</v>
      </c>
    </row>
    <row r="1574" spans="1:2">
      <c r="A1574" s="23">
        <v>106227</v>
      </c>
      <c r="B1574" s="1" t="s">
        <v>1641</v>
      </c>
    </row>
    <row r="1575" spans="1:2">
      <c r="A1575" s="23">
        <v>106228</v>
      </c>
      <c r="B1575" s="1" t="s">
        <v>1642</v>
      </c>
    </row>
    <row r="1576" spans="1:2">
      <c r="A1576" s="23">
        <v>106229</v>
      </c>
      <c r="B1576" s="1" t="s">
        <v>1643</v>
      </c>
    </row>
    <row r="1577" spans="1:2">
      <c r="A1577" s="23">
        <v>106230</v>
      </c>
      <c r="B1577" s="1" t="s">
        <v>1644</v>
      </c>
    </row>
    <row r="1578" spans="1:2">
      <c r="A1578" s="23">
        <v>106231</v>
      </c>
      <c r="B1578" s="1" t="s">
        <v>1645</v>
      </c>
    </row>
    <row r="1579" spans="1:2">
      <c r="A1579" s="23">
        <v>106232</v>
      </c>
      <c r="B1579" s="1" t="s">
        <v>1646</v>
      </c>
    </row>
    <row r="1580" spans="1:2">
      <c r="A1580" s="23">
        <v>106233</v>
      </c>
      <c r="B1580" s="1" t="s">
        <v>1647</v>
      </c>
    </row>
    <row r="1581" spans="1:2">
      <c r="A1581" s="23">
        <v>106234</v>
      </c>
      <c r="B1581" s="1" t="s">
        <v>1648</v>
      </c>
    </row>
    <row r="1582" spans="1:2">
      <c r="A1582" s="23">
        <v>106235</v>
      </c>
      <c r="B1582" s="1" t="s">
        <v>1649</v>
      </c>
    </row>
    <row r="1583" spans="1:2">
      <c r="A1583" s="23">
        <v>106236</v>
      </c>
      <c r="B1583" s="1" t="s">
        <v>1650</v>
      </c>
    </row>
    <row r="1584" spans="1:2">
      <c r="A1584" s="23">
        <v>106237</v>
      </c>
      <c r="B1584" s="1" t="s">
        <v>1651</v>
      </c>
    </row>
    <row r="1585" spans="1:2">
      <c r="A1585" s="23">
        <v>106238</v>
      </c>
      <c r="B1585" s="1" t="s">
        <v>1652</v>
      </c>
    </row>
    <row r="1586" spans="1:2">
      <c r="A1586" s="23">
        <v>106239</v>
      </c>
      <c r="B1586" s="1" t="s">
        <v>1653</v>
      </c>
    </row>
    <row r="1587" spans="1:2">
      <c r="A1587" s="23">
        <v>106240</v>
      </c>
      <c r="B1587" s="1" t="s">
        <v>1654</v>
      </c>
    </row>
    <row r="1588" spans="1:2">
      <c r="A1588" s="23">
        <v>106241</v>
      </c>
      <c r="B1588" s="1" t="s">
        <v>1655</v>
      </c>
    </row>
    <row r="1589" spans="1:2">
      <c r="A1589" s="23">
        <v>106242</v>
      </c>
      <c r="B1589" s="1" t="s">
        <v>1656</v>
      </c>
    </row>
    <row r="1590" spans="1:2">
      <c r="A1590" s="23">
        <v>106243</v>
      </c>
      <c r="B1590" s="1" t="s">
        <v>1657</v>
      </c>
    </row>
    <row r="1591" spans="1:2">
      <c r="A1591" s="23">
        <v>106244</v>
      </c>
      <c r="B1591" s="1" t="s">
        <v>1658</v>
      </c>
    </row>
    <row r="1592" spans="1:2">
      <c r="A1592" s="23">
        <v>106245</v>
      </c>
      <c r="B1592" s="1" t="s">
        <v>1659</v>
      </c>
    </row>
    <row r="1593" spans="1:2">
      <c r="A1593" s="23">
        <v>106246</v>
      </c>
      <c r="B1593" s="1" t="s">
        <v>1660</v>
      </c>
    </row>
    <row r="1594" spans="1:2">
      <c r="A1594" s="23">
        <v>106247</v>
      </c>
      <c r="B1594" s="1" t="s">
        <v>1661</v>
      </c>
    </row>
    <row r="1595" spans="1:2">
      <c r="A1595" s="23">
        <v>106248</v>
      </c>
      <c r="B1595" s="1" t="s">
        <v>1662</v>
      </c>
    </row>
    <row r="1596" spans="1:2">
      <c r="A1596" s="23">
        <v>106249</v>
      </c>
      <c r="B1596" s="1" t="s">
        <v>1663</v>
      </c>
    </row>
    <row r="1597" spans="1:2">
      <c r="A1597" s="23">
        <v>106250</v>
      </c>
      <c r="B1597" s="1" t="s">
        <v>1664</v>
      </c>
    </row>
    <row r="1598" spans="1:2">
      <c r="A1598" s="23">
        <v>106251</v>
      </c>
      <c r="B1598" s="1" t="s">
        <v>1665</v>
      </c>
    </row>
    <row r="1599" spans="1:2">
      <c r="A1599" s="23">
        <v>106252</v>
      </c>
      <c r="B1599" s="1" t="s">
        <v>1666</v>
      </c>
    </row>
    <row r="1600" spans="1:2">
      <c r="A1600" s="23">
        <v>106253</v>
      </c>
      <c r="B1600" s="1" t="s">
        <v>1667</v>
      </c>
    </row>
    <row r="1601" spans="1:2">
      <c r="A1601" s="23">
        <v>106254</v>
      </c>
      <c r="B1601" s="1" t="s">
        <v>1668</v>
      </c>
    </row>
    <row r="1602" spans="1:2">
      <c r="A1602" s="23">
        <v>106255</v>
      </c>
      <c r="B1602" s="1" t="s">
        <v>1669</v>
      </c>
    </row>
    <row r="1603" spans="1:2">
      <c r="A1603" s="23">
        <v>106256</v>
      </c>
      <c r="B1603" s="1" t="s">
        <v>1670</v>
      </c>
    </row>
    <row r="1604" spans="1:2">
      <c r="A1604" s="23">
        <v>106257</v>
      </c>
      <c r="B1604" s="1" t="s">
        <v>1671</v>
      </c>
    </row>
    <row r="1605" spans="1:2">
      <c r="A1605" s="23">
        <v>106258</v>
      </c>
      <c r="B1605" s="1" t="s">
        <v>1672</v>
      </c>
    </row>
    <row r="1606" spans="1:2">
      <c r="A1606" s="23">
        <v>106259</v>
      </c>
      <c r="B1606" s="1" t="s">
        <v>1673</v>
      </c>
    </row>
    <row r="1607" spans="1:2">
      <c r="A1607" s="23">
        <v>106260</v>
      </c>
      <c r="B1607" s="1" t="s">
        <v>1674</v>
      </c>
    </row>
    <row r="1608" spans="1:2">
      <c r="A1608" s="23">
        <v>106261</v>
      </c>
      <c r="B1608" s="1" t="s">
        <v>1675</v>
      </c>
    </row>
    <row r="1609" spans="1:2">
      <c r="A1609" s="23">
        <v>106262</v>
      </c>
      <c r="B1609" s="1" t="s">
        <v>1676</v>
      </c>
    </row>
    <row r="1610" spans="1:2">
      <c r="A1610" s="23">
        <v>106263</v>
      </c>
      <c r="B1610" s="1" t="s">
        <v>1677</v>
      </c>
    </row>
    <row r="1611" spans="1:2">
      <c r="A1611" s="23">
        <v>106264</v>
      </c>
      <c r="B1611" s="1" t="s">
        <v>1678</v>
      </c>
    </row>
    <row r="1612" spans="1:2">
      <c r="A1612" s="23">
        <v>106265</v>
      </c>
      <c r="B1612" s="1" t="s">
        <v>1679</v>
      </c>
    </row>
    <row r="1613" spans="1:2">
      <c r="A1613" s="23">
        <v>106266</v>
      </c>
      <c r="B1613" s="1" t="s">
        <v>1680</v>
      </c>
    </row>
    <row r="1614" spans="1:2">
      <c r="A1614" s="23">
        <v>106267</v>
      </c>
      <c r="B1614" s="1" t="s">
        <v>1681</v>
      </c>
    </row>
    <row r="1615" spans="1:2">
      <c r="A1615" s="23">
        <v>106268</v>
      </c>
      <c r="B1615" s="1" t="s">
        <v>1682</v>
      </c>
    </row>
    <row r="1616" spans="1:2">
      <c r="A1616" s="23">
        <v>106269</v>
      </c>
      <c r="B1616" s="1" t="s">
        <v>1683</v>
      </c>
    </row>
    <row r="1617" spans="1:2">
      <c r="A1617" s="23">
        <v>106270</v>
      </c>
      <c r="B1617" s="1" t="s">
        <v>1684</v>
      </c>
    </row>
    <row r="1618" spans="1:2">
      <c r="A1618" s="23">
        <v>106271</v>
      </c>
      <c r="B1618" s="1" t="s">
        <v>1685</v>
      </c>
    </row>
    <row r="1619" spans="1:2">
      <c r="A1619" s="23">
        <v>106272</v>
      </c>
      <c r="B1619" s="1" t="s">
        <v>1686</v>
      </c>
    </row>
    <row r="1620" spans="1:2">
      <c r="A1620" s="23">
        <v>106273</v>
      </c>
      <c r="B1620" s="1" t="s">
        <v>1687</v>
      </c>
    </row>
    <row r="1621" spans="1:2">
      <c r="A1621" s="23">
        <v>106274</v>
      </c>
      <c r="B1621" s="1" t="s">
        <v>1688</v>
      </c>
    </row>
    <row r="1622" spans="1:2">
      <c r="A1622" s="23">
        <v>106275</v>
      </c>
      <c r="B1622" s="1" t="s">
        <v>1689</v>
      </c>
    </row>
    <row r="1623" spans="1:2">
      <c r="A1623" s="23">
        <v>106276</v>
      </c>
      <c r="B1623" s="1" t="s">
        <v>1690</v>
      </c>
    </row>
    <row r="1624" spans="1:2">
      <c r="A1624" s="23">
        <v>106277</v>
      </c>
      <c r="B1624" s="1" t="s">
        <v>1691</v>
      </c>
    </row>
    <row r="1625" spans="1:2">
      <c r="A1625" s="23">
        <v>106278</v>
      </c>
      <c r="B1625" s="1" t="s">
        <v>1692</v>
      </c>
    </row>
    <row r="1626" spans="1:2">
      <c r="A1626" s="23">
        <v>106279</v>
      </c>
      <c r="B1626" s="1" t="s">
        <v>1693</v>
      </c>
    </row>
    <row r="1627" spans="1:2">
      <c r="A1627" s="23">
        <v>106280</v>
      </c>
      <c r="B1627" s="1" t="s">
        <v>1694</v>
      </c>
    </row>
    <row r="1628" spans="1:2">
      <c r="A1628" s="23">
        <v>106281</v>
      </c>
      <c r="B1628" s="1" t="s">
        <v>1695</v>
      </c>
    </row>
    <row r="1629" spans="1:2">
      <c r="A1629" s="23">
        <v>106282</v>
      </c>
      <c r="B1629" s="1" t="s">
        <v>1696</v>
      </c>
    </row>
    <row r="1630" spans="1:2">
      <c r="A1630" s="23">
        <v>106283</v>
      </c>
      <c r="B1630" s="1" t="s">
        <v>1697</v>
      </c>
    </row>
    <row r="1631" spans="1:2">
      <c r="A1631" s="23">
        <v>106284</v>
      </c>
      <c r="B1631" s="1" t="s">
        <v>1698</v>
      </c>
    </row>
    <row r="1632" spans="1:2">
      <c r="A1632" s="23">
        <v>106285</v>
      </c>
      <c r="B1632" s="1" t="s">
        <v>1699</v>
      </c>
    </row>
    <row r="1633" spans="1:2">
      <c r="A1633" s="23">
        <v>106286</v>
      </c>
      <c r="B1633" s="1" t="s">
        <v>1700</v>
      </c>
    </row>
    <row r="1634" spans="1:2">
      <c r="A1634" s="23">
        <v>106287</v>
      </c>
      <c r="B1634" s="1" t="s">
        <v>1701</v>
      </c>
    </row>
    <row r="1635" spans="1:2">
      <c r="A1635" s="23">
        <v>106288</v>
      </c>
      <c r="B1635" s="1" t="s">
        <v>1702</v>
      </c>
    </row>
    <row r="1636" spans="1:2">
      <c r="A1636" s="23">
        <v>106289</v>
      </c>
      <c r="B1636" s="1" t="s">
        <v>1703</v>
      </c>
    </row>
    <row r="1637" spans="1:2">
      <c r="A1637" s="23">
        <v>106290</v>
      </c>
      <c r="B1637" s="1" t="s">
        <v>1704</v>
      </c>
    </row>
    <row r="1638" spans="1:2">
      <c r="A1638" s="23">
        <v>106291</v>
      </c>
      <c r="B1638" s="1" t="s">
        <v>1705</v>
      </c>
    </row>
    <row r="1639" spans="1:2">
      <c r="A1639" s="23">
        <v>106292</v>
      </c>
      <c r="B1639" s="1" t="s">
        <v>1706</v>
      </c>
    </row>
    <row r="1640" spans="1:2">
      <c r="A1640" s="23">
        <v>106293</v>
      </c>
      <c r="B1640" s="1" t="s">
        <v>1707</v>
      </c>
    </row>
    <row r="1641" spans="1:2">
      <c r="A1641" s="23">
        <v>106294</v>
      </c>
      <c r="B1641" s="1" t="s">
        <v>1708</v>
      </c>
    </row>
    <row r="1642" spans="1:2">
      <c r="A1642" s="23">
        <v>106295</v>
      </c>
      <c r="B1642" s="1" t="s">
        <v>1709</v>
      </c>
    </row>
    <row r="1643" spans="1:2">
      <c r="A1643" s="23">
        <v>106296</v>
      </c>
      <c r="B1643" s="1" t="s">
        <v>1710</v>
      </c>
    </row>
    <row r="1644" spans="1:2">
      <c r="A1644" s="23">
        <v>106297</v>
      </c>
      <c r="B1644" s="1" t="s">
        <v>1711</v>
      </c>
    </row>
    <row r="1645" spans="1:2">
      <c r="A1645" s="23">
        <v>106298</v>
      </c>
      <c r="B1645" s="1" t="s">
        <v>1712</v>
      </c>
    </row>
    <row r="1646" spans="1:2">
      <c r="A1646" s="23">
        <v>106299</v>
      </c>
      <c r="B1646" s="1" t="s">
        <v>1713</v>
      </c>
    </row>
    <row r="1647" spans="1:2">
      <c r="A1647" s="23">
        <v>106300</v>
      </c>
      <c r="B1647" s="1" t="s">
        <v>1714</v>
      </c>
    </row>
    <row r="1648" spans="1:2">
      <c r="A1648" s="23">
        <v>106301</v>
      </c>
      <c r="B1648" s="1" t="s">
        <v>1715</v>
      </c>
    </row>
    <row r="1649" spans="1:2">
      <c r="A1649" s="23">
        <v>106302</v>
      </c>
      <c r="B1649" s="1" t="s">
        <v>1716</v>
      </c>
    </row>
    <row r="1650" spans="1:2">
      <c r="A1650" s="23">
        <v>106303</v>
      </c>
      <c r="B1650" s="1" t="s">
        <v>1717</v>
      </c>
    </row>
    <row r="1651" spans="1:2">
      <c r="A1651" s="23">
        <v>106304</v>
      </c>
      <c r="B1651" s="1" t="s">
        <v>1718</v>
      </c>
    </row>
    <row r="1652" spans="1:2">
      <c r="A1652" s="23">
        <v>106305</v>
      </c>
      <c r="B1652" s="1" t="s">
        <v>1719</v>
      </c>
    </row>
    <row r="1653" spans="1:2">
      <c r="A1653" s="23">
        <v>106306</v>
      </c>
      <c r="B1653" s="1" t="s">
        <v>1720</v>
      </c>
    </row>
    <row r="1654" spans="1:2">
      <c r="A1654" s="23">
        <v>106307</v>
      </c>
      <c r="B1654" s="1" t="s">
        <v>1721</v>
      </c>
    </row>
    <row r="1655" spans="1:2">
      <c r="A1655" s="23">
        <v>106308</v>
      </c>
      <c r="B1655" s="1" t="s">
        <v>1722</v>
      </c>
    </row>
    <row r="1656" spans="1:2">
      <c r="A1656" s="23">
        <v>106309</v>
      </c>
      <c r="B1656" s="1" t="s">
        <v>1723</v>
      </c>
    </row>
    <row r="1657" spans="1:2">
      <c r="A1657" s="23">
        <v>106310</v>
      </c>
      <c r="B1657" s="1" t="s">
        <v>1724</v>
      </c>
    </row>
    <row r="1658" spans="1:2">
      <c r="A1658" s="23">
        <v>106311</v>
      </c>
      <c r="B1658" s="1" t="s">
        <v>1725</v>
      </c>
    </row>
    <row r="1659" spans="1:2">
      <c r="A1659" s="23">
        <v>106312</v>
      </c>
      <c r="B1659" s="1" t="s">
        <v>1726</v>
      </c>
    </row>
    <row r="1660" spans="1:2">
      <c r="A1660" s="23">
        <v>106313</v>
      </c>
      <c r="B1660" s="1" t="s">
        <v>1727</v>
      </c>
    </row>
    <row r="1661" spans="1:2">
      <c r="A1661" s="23">
        <v>106314</v>
      </c>
      <c r="B1661" s="1" t="s">
        <v>1728</v>
      </c>
    </row>
    <row r="1662" spans="1:2">
      <c r="A1662" s="23">
        <v>106315</v>
      </c>
      <c r="B1662" s="1" t="s">
        <v>1729</v>
      </c>
    </row>
    <row r="1663" spans="1:2">
      <c r="A1663" s="23">
        <v>106316</v>
      </c>
      <c r="B1663" s="1" t="s">
        <v>1730</v>
      </c>
    </row>
    <row r="1664" spans="1:2">
      <c r="A1664" s="23">
        <v>106317</v>
      </c>
      <c r="B1664" s="1" t="s">
        <v>1731</v>
      </c>
    </row>
    <row r="1665" spans="1:2">
      <c r="A1665" s="23">
        <v>106318</v>
      </c>
      <c r="B1665" s="1" t="s">
        <v>1732</v>
      </c>
    </row>
    <row r="1666" spans="1:2">
      <c r="A1666" s="23">
        <v>106319</v>
      </c>
      <c r="B1666" s="1" t="s">
        <v>1733</v>
      </c>
    </row>
    <row r="1667" spans="1:2">
      <c r="A1667" s="23">
        <v>106320</v>
      </c>
      <c r="B1667" s="1" t="s">
        <v>1734</v>
      </c>
    </row>
    <row r="1668" spans="1:2">
      <c r="A1668" s="23">
        <v>106321</v>
      </c>
      <c r="B1668" s="1" t="s">
        <v>1735</v>
      </c>
    </row>
    <row r="1669" spans="1:2">
      <c r="A1669" s="23">
        <v>106322</v>
      </c>
      <c r="B1669" s="1" t="s">
        <v>1736</v>
      </c>
    </row>
    <row r="1670" spans="1:2">
      <c r="A1670" s="23">
        <v>106323</v>
      </c>
      <c r="B1670" s="1" t="s">
        <v>1737</v>
      </c>
    </row>
    <row r="1671" spans="1:2">
      <c r="A1671" s="23">
        <v>106324</v>
      </c>
      <c r="B1671" s="1" t="s">
        <v>1738</v>
      </c>
    </row>
    <row r="1672" spans="1:2">
      <c r="A1672" s="23">
        <v>106325</v>
      </c>
      <c r="B1672" s="1" t="s">
        <v>1739</v>
      </c>
    </row>
    <row r="1673" spans="1:2">
      <c r="A1673" s="23">
        <v>106326</v>
      </c>
      <c r="B1673" s="1" t="s">
        <v>1740</v>
      </c>
    </row>
    <row r="1674" spans="1:2">
      <c r="A1674" s="23">
        <v>106327</v>
      </c>
      <c r="B1674" s="1" t="s">
        <v>1741</v>
      </c>
    </row>
    <row r="1675" spans="1:2">
      <c r="A1675" s="23">
        <v>106328</v>
      </c>
      <c r="B1675" s="1" t="s">
        <v>1742</v>
      </c>
    </row>
    <row r="1676" spans="1:2">
      <c r="A1676" s="23">
        <v>106329</v>
      </c>
      <c r="B1676" s="1" t="s">
        <v>1743</v>
      </c>
    </row>
    <row r="1677" spans="1:2">
      <c r="A1677" s="23">
        <v>106330</v>
      </c>
      <c r="B1677" s="1" t="s">
        <v>1744</v>
      </c>
    </row>
    <row r="1678" spans="1:2">
      <c r="A1678" s="23">
        <v>106331</v>
      </c>
      <c r="B1678" s="1" t="s">
        <v>1745</v>
      </c>
    </row>
    <row r="1679" spans="1:2">
      <c r="A1679" s="23">
        <v>106332</v>
      </c>
      <c r="B1679" s="1" t="s">
        <v>1746</v>
      </c>
    </row>
    <row r="1680" spans="1:2">
      <c r="A1680" s="23">
        <v>106333</v>
      </c>
      <c r="B1680" s="1" t="s">
        <v>1747</v>
      </c>
    </row>
    <row r="1681" spans="1:2">
      <c r="A1681" s="23">
        <v>106334</v>
      </c>
      <c r="B1681" s="1" t="s">
        <v>1748</v>
      </c>
    </row>
    <row r="1682" spans="1:2">
      <c r="A1682" s="23">
        <v>106335</v>
      </c>
      <c r="B1682" s="1" t="s">
        <v>1749</v>
      </c>
    </row>
    <row r="1683" spans="1:2">
      <c r="A1683" s="23">
        <v>106336</v>
      </c>
      <c r="B1683" s="1" t="s">
        <v>1750</v>
      </c>
    </row>
    <row r="1684" spans="1:2">
      <c r="A1684" s="23">
        <v>106337</v>
      </c>
      <c r="B1684" s="1" t="s">
        <v>1751</v>
      </c>
    </row>
    <row r="1685" spans="1:2">
      <c r="A1685" s="23">
        <v>106338</v>
      </c>
      <c r="B1685" s="1" t="s">
        <v>1752</v>
      </c>
    </row>
    <row r="1686" spans="1:2">
      <c r="A1686" s="23">
        <v>106339</v>
      </c>
      <c r="B1686" s="1" t="s">
        <v>1753</v>
      </c>
    </row>
    <row r="1687" spans="1:2">
      <c r="A1687" s="23">
        <v>106340</v>
      </c>
      <c r="B1687" s="1" t="s">
        <v>1754</v>
      </c>
    </row>
    <row r="1688" spans="1:2">
      <c r="A1688" s="23">
        <v>106341</v>
      </c>
      <c r="B1688" s="1" t="s">
        <v>1755</v>
      </c>
    </row>
    <row r="1689" spans="1:2">
      <c r="A1689" s="23">
        <v>106342</v>
      </c>
      <c r="B1689" s="1" t="s">
        <v>1756</v>
      </c>
    </row>
    <row r="1690" spans="1:2">
      <c r="A1690" s="23">
        <v>106343</v>
      </c>
      <c r="B1690" s="1" t="s">
        <v>1757</v>
      </c>
    </row>
    <row r="1691" spans="1:2">
      <c r="A1691" s="23">
        <v>106344</v>
      </c>
      <c r="B1691" s="1" t="s">
        <v>1758</v>
      </c>
    </row>
    <row r="1692" spans="1:2">
      <c r="A1692" s="23">
        <v>106345</v>
      </c>
      <c r="B1692" s="1" t="s">
        <v>1759</v>
      </c>
    </row>
    <row r="1693" spans="1:2">
      <c r="A1693" s="23">
        <v>106346</v>
      </c>
      <c r="B1693" s="1" t="s">
        <v>1760</v>
      </c>
    </row>
    <row r="1694" spans="1:2">
      <c r="A1694" s="23">
        <v>106347</v>
      </c>
      <c r="B1694" s="1" t="s">
        <v>1761</v>
      </c>
    </row>
    <row r="1695" spans="1:2">
      <c r="A1695" s="23">
        <v>106348</v>
      </c>
      <c r="B1695" s="1" t="s">
        <v>1762</v>
      </c>
    </row>
    <row r="1696" spans="1:2">
      <c r="A1696" s="23">
        <v>106349</v>
      </c>
      <c r="B1696" s="1" t="s">
        <v>1763</v>
      </c>
    </row>
    <row r="1697" spans="1:2">
      <c r="A1697" s="23">
        <v>106350</v>
      </c>
      <c r="B1697" s="1" t="s">
        <v>1764</v>
      </c>
    </row>
    <row r="1698" spans="1:2">
      <c r="A1698" s="23">
        <v>106351</v>
      </c>
      <c r="B1698" s="1" t="s">
        <v>1765</v>
      </c>
    </row>
    <row r="1699" spans="1:2">
      <c r="A1699" s="23">
        <v>106352</v>
      </c>
      <c r="B1699" s="1" t="s">
        <v>1766</v>
      </c>
    </row>
    <row r="1700" spans="1:2">
      <c r="A1700" s="23">
        <v>106353</v>
      </c>
      <c r="B1700" s="1" t="s">
        <v>1767</v>
      </c>
    </row>
    <row r="1701" spans="1:2">
      <c r="A1701" s="23">
        <v>106354</v>
      </c>
      <c r="B1701" s="1" t="s">
        <v>1768</v>
      </c>
    </row>
    <row r="1702" spans="1:2">
      <c r="A1702" s="23">
        <v>106355</v>
      </c>
      <c r="B1702" s="1" t="s">
        <v>1769</v>
      </c>
    </row>
    <row r="1703" spans="1:2">
      <c r="A1703" s="23">
        <v>106356</v>
      </c>
      <c r="B1703" s="1" t="s">
        <v>1770</v>
      </c>
    </row>
    <row r="1704" spans="1:2">
      <c r="A1704" s="23">
        <v>106357</v>
      </c>
      <c r="B1704" s="1" t="s">
        <v>1771</v>
      </c>
    </row>
    <row r="1705" spans="1:2">
      <c r="A1705" s="23">
        <v>106358</v>
      </c>
      <c r="B1705" s="1" t="s">
        <v>1772</v>
      </c>
    </row>
    <row r="1706" spans="1:2">
      <c r="A1706" s="23">
        <v>106359</v>
      </c>
      <c r="B1706" s="1" t="s">
        <v>1773</v>
      </c>
    </row>
    <row r="1707" spans="1:2">
      <c r="A1707" s="23">
        <v>106360</v>
      </c>
      <c r="B1707" s="1" t="s">
        <v>1774</v>
      </c>
    </row>
    <row r="1708" spans="1:2">
      <c r="A1708" s="23">
        <v>106361</v>
      </c>
      <c r="B1708" s="1" t="s">
        <v>1775</v>
      </c>
    </row>
    <row r="1709" spans="1:2">
      <c r="A1709" s="23">
        <v>106362</v>
      </c>
      <c r="B1709" s="1" t="s">
        <v>1776</v>
      </c>
    </row>
    <row r="1710" spans="1:2">
      <c r="A1710" s="23">
        <v>106363</v>
      </c>
      <c r="B1710" s="1" t="s">
        <v>1777</v>
      </c>
    </row>
    <row r="1711" spans="1:2">
      <c r="A1711" s="23">
        <v>106364</v>
      </c>
      <c r="B1711" s="1" t="s">
        <v>1778</v>
      </c>
    </row>
    <row r="1712" spans="1:2">
      <c r="A1712" s="23">
        <v>106365</v>
      </c>
      <c r="B1712" s="1" t="s">
        <v>1779</v>
      </c>
    </row>
    <row r="1713" spans="1:2">
      <c r="A1713" s="23">
        <v>106366</v>
      </c>
      <c r="B1713" s="1" t="s">
        <v>1780</v>
      </c>
    </row>
    <row r="1714" spans="1:2">
      <c r="A1714" s="23">
        <v>106367</v>
      </c>
      <c r="B1714" s="1" t="s">
        <v>1781</v>
      </c>
    </row>
    <row r="1715" spans="1:2">
      <c r="A1715" s="23">
        <v>106368</v>
      </c>
      <c r="B1715" s="1" t="s">
        <v>1782</v>
      </c>
    </row>
    <row r="1716" spans="1:2">
      <c r="A1716" s="23">
        <v>106369</v>
      </c>
      <c r="B1716" s="1" t="s">
        <v>1783</v>
      </c>
    </row>
    <row r="1717" spans="1:2">
      <c r="A1717" s="23">
        <v>106370</v>
      </c>
      <c r="B1717" s="1" t="s">
        <v>1784</v>
      </c>
    </row>
    <row r="1718" spans="1:2">
      <c r="A1718" s="23">
        <v>106371</v>
      </c>
      <c r="B1718" s="1" t="s">
        <v>1785</v>
      </c>
    </row>
    <row r="1719" spans="1:2">
      <c r="A1719" s="23">
        <v>106372</v>
      </c>
      <c r="B1719" s="1" t="s">
        <v>1786</v>
      </c>
    </row>
    <row r="1720" spans="1:2">
      <c r="A1720" s="23">
        <v>106373</v>
      </c>
      <c r="B1720" s="1" t="s">
        <v>1787</v>
      </c>
    </row>
    <row r="1721" spans="1:2">
      <c r="A1721" s="23">
        <v>106374</v>
      </c>
      <c r="B1721" s="1" t="s">
        <v>1788</v>
      </c>
    </row>
    <row r="1722" spans="1:2">
      <c r="A1722" s="23">
        <v>106375</v>
      </c>
      <c r="B1722" s="1" t="s">
        <v>1789</v>
      </c>
    </row>
    <row r="1723" spans="1:2">
      <c r="A1723" s="23">
        <v>106376</v>
      </c>
      <c r="B1723" s="1" t="s">
        <v>1790</v>
      </c>
    </row>
    <row r="1724" spans="1:2">
      <c r="A1724" s="23">
        <v>106377</v>
      </c>
      <c r="B1724" s="1" t="s">
        <v>1791</v>
      </c>
    </row>
    <row r="1725" spans="1:2">
      <c r="A1725" s="23">
        <v>106378</v>
      </c>
      <c r="B1725" s="1" t="s">
        <v>1792</v>
      </c>
    </row>
    <row r="1726" spans="1:2">
      <c r="A1726" s="23">
        <v>106379</v>
      </c>
      <c r="B1726" s="1" t="s">
        <v>1793</v>
      </c>
    </row>
    <row r="1727" spans="1:2">
      <c r="A1727" s="23">
        <v>106380</v>
      </c>
      <c r="B1727" s="1" t="s">
        <v>1794</v>
      </c>
    </row>
    <row r="1728" spans="1:2">
      <c r="A1728" s="23">
        <v>106381</v>
      </c>
      <c r="B1728" s="1" t="s">
        <v>1795</v>
      </c>
    </row>
    <row r="1729" spans="1:2">
      <c r="A1729" s="23">
        <v>106382</v>
      </c>
      <c r="B1729" s="1" t="s">
        <v>1796</v>
      </c>
    </row>
    <row r="1730" spans="1:2">
      <c r="A1730" s="23">
        <v>106383</v>
      </c>
      <c r="B1730" s="1" t="s">
        <v>1797</v>
      </c>
    </row>
    <row r="1731" spans="1:2">
      <c r="A1731" s="23">
        <v>106384</v>
      </c>
      <c r="B1731" s="1" t="s">
        <v>1798</v>
      </c>
    </row>
    <row r="1732" spans="1:2">
      <c r="A1732" s="23">
        <v>106385</v>
      </c>
      <c r="B1732" s="1" t="s">
        <v>1799</v>
      </c>
    </row>
    <row r="1733" spans="1:2">
      <c r="A1733" s="23">
        <v>106386</v>
      </c>
      <c r="B1733" s="1" t="s">
        <v>1800</v>
      </c>
    </row>
    <row r="1734" spans="1:2">
      <c r="A1734" s="23">
        <v>106387</v>
      </c>
      <c r="B1734" s="1" t="s">
        <v>1801</v>
      </c>
    </row>
    <row r="1735" spans="1:2">
      <c r="A1735" s="23">
        <v>106388</v>
      </c>
      <c r="B1735" s="1" t="s">
        <v>1802</v>
      </c>
    </row>
    <row r="1736" spans="1:2">
      <c r="A1736" s="23">
        <v>106389</v>
      </c>
      <c r="B1736" s="1" t="s">
        <v>1803</v>
      </c>
    </row>
    <row r="1737" spans="1:2">
      <c r="A1737" s="23">
        <v>106390</v>
      </c>
      <c r="B1737" s="1" t="s">
        <v>1804</v>
      </c>
    </row>
    <row r="1738" spans="1:2">
      <c r="A1738" s="23">
        <v>106391</v>
      </c>
      <c r="B1738" s="1" t="s">
        <v>1805</v>
      </c>
    </row>
    <row r="1739" spans="1:2">
      <c r="A1739" s="23">
        <v>106392</v>
      </c>
      <c r="B1739" s="1" t="s">
        <v>1806</v>
      </c>
    </row>
    <row r="1740" spans="1:2">
      <c r="A1740" s="23">
        <v>106393</v>
      </c>
      <c r="B1740" s="1" t="s">
        <v>1807</v>
      </c>
    </row>
    <row r="1741" spans="1:2">
      <c r="A1741" s="23">
        <v>106394</v>
      </c>
      <c r="B1741" s="1" t="s">
        <v>1808</v>
      </c>
    </row>
    <row r="1742" spans="1:2">
      <c r="A1742" s="23">
        <v>106395</v>
      </c>
      <c r="B1742" s="1" t="s">
        <v>1809</v>
      </c>
    </row>
    <row r="1743" spans="1:2">
      <c r="A1743" s="23">
        <v>106396</v>
      </c>
      <c r="B1743" s="1" t="s">
        <v>1810</v>
      </c>
    </row>
    <row r="1744" spans="1:2">
      <c r="A1744" s="23">
        <v>106397</v>
      </c>
      <c r="B1744" s="1" t="s">
        <v>1811</v>
      </c>
    </row>
    <row r="1745" spans="1:2">
      <c r="A1745" s="23">
        <v>106398</v>
      </c>
      <c r="B1745" s="1" t="s">
        <v>1812</v>
      </c>
    </row>
    <row r="1746" spans="1:2">
      <c r="A1746" s="23">
        <v>106399</v>
      </c>
      <c r="B1746" s="1" t="s">
        <v>1813</v>
      </c>
    </row>
    <row r="1747" spans="1:2">
      <c r="A1747" s="23">
        <v>106400</v>
      </c>
      <c r="B1747" s="1" t="s">
        <v>1814</v>
      </c>
    </row>
    <row r="1748" spans="1:2">
      <c r="A1748" s="23">
        <v>106401</v>
      </c>
      <c r="B1748" s="1" t="s">
        <v>1815</v>
      </c>
    </row>
    <row r="1749" spans="1:2">
      <c r="A1749" s="23">
        <v>106402</v>
      </c>
      <c r="B1749" s="1" t="s">
        <v>1816</v>
      </c>
    </row>
    <row r="1750" spans="1:2">
      <c r="A1750" s="23">
        <v>106403</v>
      </c>
      <c r="B1750" s="1" t="s">
        <v>1817</v>
      </c>
    </row>
    <row r="1751" spans="1:2">
      <c r="A1751" s="23">
        <v>106404</v>
      </c>
      <c r="B1751" s="1" t="s">
        <v>1818</v>
      </c>
    </row>
    <row r="1752" spans="1:2">
      <c r="A1752" s="23">
        <v>106405</v>
      </c>
      <c r="B1752" s="1" t="s">
        <v>1819</v>
      </c>
    </row>
    <row r="1753" spans="1:2">
      <c r="A1753" s="23">
        <v>106406</v>
      </c>
      <c r="B1753" s="1" t="s">
        <v>1820</v>
      </c>
    </row>
    <row r="1754" spans="1:2">
      <c r="A1754" s="23">
        <v>106407</v>
      </c>
      <c r="B1754" s="1" t="s">
        <v>1821</v>
      </c>
    </row>
    <row r="1755" spans="1:2">
      <c r="A1755" s="23">
        <v>106408</v>
      </c>
      <c r="B1755" s="1" t="s">
        <v>1822</v>
      </c>
    </row>
    <row r="1756" spans="1:2">
      <c r="A1756" s="23">
        <v>106409</v>
      </c>
      <c r="B1756" s="1" t="s">
        <v>1823</v>
      </c>
    </row>
    <row r="1757" spans="1:2">
      <c r="A1757" s="23">
        <v>106410</v>
      </c>
      <c r="B1757" s="1" t="s">
        <v>1824</v>
      </c>
    </row>
    <row r="1758" spans="1:2">
      <c r="A1758" s="23">
        <v>106411</v>
      </c>
      <c r="B1758" s="1" t="s">
        <v>1825</v>
      </c>
    </row>
    <row r="1759" spans="1:2">
      <c r="A1759" s="23">
        <v>106412</v>
      </c>
      <c r="B1759" s="1" t="s">
        <v>1826</v>
      </c>
    </row>
    <row r="1760" spans="1:2">
      <c r="A1760" s="23">
        <v>106413</v>
      </c>
      <c r="B1760" s="1" t="s">
        <v>1827</v>
      </c>
    </row>
    <row r="1761" spans="1:2">
      <c r="A1761" s="23">
        <v>106414</v>
      </c>
      <c r="B1761" s="1" t="s">
        <v>1828</v>
      </c>
    </row>
    <row r="1762" spans="1:2">
      <c r="A1762" s="23">
        <v>106415</v>
      </c>
      <c r="B1762" s="1" t="s">
        <v>1829</v>
      </c>
    </row>
    <row r="1763" spans="1:2">
      <c r="A1763" s="23">
        <v>106416</v>
      </c>
      <c r="B1763" s="1" t="s">
        <v>1830</v>
      </c>
    </row>
    <row r="1764" spans="1:2">
      <c r="A1764" s="23">
        <v>106417</v>
      </c>
      <c r="B1764" s="1" t="s">
        <v>1831</v>
      </c>
    </row>
    <row r="1765" spans="1:2">
      <c r="A1765" s="23">
        <v>106418</v>
      </c>
      <c r="B1765" s="1" t="s">
        <v>1832</v>
      </c>
    </row>
    <row r="1766" spans="1:2">
      <c r="A1766" s="23">
        <v>106419</v>
      </c>
      <c r="B1766" s="1" t="s">
        <v>1833</v>
      </c>
    </row>
    <row r="1767" spans="1:2">
      <c r="A1767" s="23">
        <v>106420</v>
      </c>
      <c r="B1767" s="1" t="s">
        <v>1834</v>
      </c>
    </row>
    <row r="1768" spans="1:2">
      <c r="A1768" s="23">
        <v>106421</v>
      </c>
      <c r="B1768" s="1" t="s">
        <v>1835</v>
      </c>
    </row>
    <row r="1769" spans="1:2">
      <c r="A1769" s="23">
        <v>106422</v>
      </c>
      <c r="B1769" s="1" t="s">
        <v>1836</v>
      </c>
    </row>
    <row r="1770" spans="1:2">
      <c r="A1770" s="23">
        <v>106423</v>
      </c>
      <c r="B1770" s="1" t="s">
        <v>1837</v>
      </c>
    </row>
    <row r="1771" spans="1:2">
      <c r="A1771" s="23">
        <v>106424</v>
      </c>
      <c r="B1771" s="1" t="s">
        <v>1838</v>
      </c>
    </row>
    <row r="1772" spans="1:2">
      <c r="A1772" s="23">
        <v>106425</v>
      </c>
      <c r="B1772" s="1" t="s">
        <v>1839</v>
      </c>
    </row>
    <row r="1773" spans="1:2">
      <c r="A1773" s="23">
        <v>106426</v>
      </c>
      <c r="B1773" s="1" t="s">
        <v>1840</v>
      </c>
    </row>
    <row r="1774" spans="1:2">
      <c r="A1774" s="23">
        <v>106427</v>
      </c>
      <c r="B1774" s="1" t="s">
        <v>1841</v>
      </c>
    </row>
    <row r="1775" spans="1:2">
      <c r="A1775" s="23">
        <v>106428</v>
      </c>
      <c r="B1775" s="1" t="s">
        <v>1842</v>
      </c>
    </row>
    <row r="1776" spans="1:2">
      <c r="A1776" s="23">
        <v>106429</v>
      </c>
      <c r="B1776" s="1" t="s">
        <v>1843</v>
      </c>
    </row>
    <row r="1777" spans="1:2">
      <c r="A1777" s="23">
        <v>106430</v>
      </c>
      <c r="B1777" s="1" t="s">
        <v>1844</v>
      </c>
    </row>
    <row r="1778" spans="1:2">
      <c r="A1778" s="23">
        <v>106431</v>
      </c>
      <c r="B1778" s="1" t="s">
        <v>1845</v>
      </c>
    </row>
    <row r="1779" spans="1:2">
      <c r="A1779" s="23">
        <v>106432</v>
      </c>
      <c r="B1779" s="1" t="s">
        <v>1846</v>
      </c>
    </row>
    <row r="1780" spans="1:2">
      <c r="A1780" s="23">
        <v>106433</v>
      </c>
      <c r="B1780" s="1" t="s">
        <v>1847</v>
      </c>
    </row>
    <row r="1781" spans="1:2">
      <c r="A1781" s="23">
        <v>106434</v>
      </c>
      <c r="B1781" s="1" t="s">
        <v>1848</v>
      </c>
    </row>
    <row r="1782" spans="1:2">
      <c r="A1782" s="23">
        <v>106435</v>
      </c>
      <c r="B1782" s="1" t="s">
        <v>1849</v>
      </c>
    </row>
    <row r="1783" spans="1:2">
      <c r="A1783" s="23">
        <v>106436</v>
      </c>
      <c r="B1783" s="1" t="s">
        <v>1850</v>
      </c>
    </row>
    <row r="1784" spans="1:2">
      <c r="A1784" s="23">
        <v>106437</v>
      </c>
      <c r="B1784" s="1" t="s">
        <v>1851</v>
      </c>
    </row>
    <row r="1785" spans="1:2">
      <c r="A1785" s="23">
        <v>106438</v>
      </c>
      <c r="B1785" s="1" t="s">
        <v>1852</v>
      </c>
    </row>
    <row r="1786" spans="1:2">
      <c r="A1786" s="23">
        <v>106439</v>
      </c>
      <c r="B1786" s="1" t="s">
        <v>1853</v>
      </c>
    </row>
    <row r="1787" spans="1:2">
      <c r="A1787" s="23">
        <v>106440</v>
      </c>
      <c r="B1787" s="1" t="s">
        <v>1854</v>
      </c>
    </row>
    <row r="1788" spans="1:2">
      <c r="A1788" s="23">
        <v>106441</v>
      </c>
      <c r="B1788" s="1" t="s">
        <v>1855</v>
      </c>
    </row>
    <row r="1789" spans="1:2">
      <c r="A1789" s="23">
        <v>106442</v>
      </c>
      <c r="B1789" s="1" t="s">
        <v>1856</v>
      </c>
    </row>
    <row r="1790" spans="1:2">
      <c r="A1790" s="23">
        <v>106443</v>
      </c>
      <c r="B1790" s="1" t="s">
        <v>1857</v>
      </c>
    </row>
    <row r="1791" spans="1:2">
      <c r="A1791" s="23">
        <v>106444</v>
      </c>
      <c r="B1791" s="1" t="s">
        <v>1858</v>
      </c>
    </row>
    <row r="1792" spans="1:2">
      <c r="A1792" s="23">
        <v>106445</v>
      </c>
      <c r="B1792" s="1" t="s">
        <v>1859</v>
      </c>
    </row>
    <row r="1793" spans="1:2">
      <c r="A1793" s="23">
        <v>106446</v>
      </c>
      <c r="B1793" s="1" t="s">
        <v>1860</v>
      </c>
    </row>
    <row r="1794" spans="1:2">
      <c r="A1794" s="23">
        <v>106447</v>
      </c>
      <c r="B1794" s="1" t="s">
        <v>1861</v>
      </c>
    </row>
    <row r="1795" spans="1:2">
      <c r="A1795" s="23">
        <v>106448</v>
      </c>
      <c r="B1795" s="1" t="s">
        <v>1862</v>
      </c>
    </row>
    <row r="1796" spans="1:2">
      <c r="A1796" s="23">
        <v>106449</v>
      </c>
      <c r="B1796" s="1" t="s">
        <v>1863</v>
      </c>
    </row>
    <row r="1797" spans="1:2">
      <c r="A1797" s="23">
        <v>106450</v>
      </c>
      <c r="B1797" s="1" t="s">
        <v>1864</v>
      </c>
    </row>
    <row r="1798" spans="1:2">
      <c r="A1798" s="23">
        <v>106451</v>
      </c>
      <c r="B1798" s="1" t="s">
        <v>1865</v>
      </c>
    </row>
    <row r="1799" spans="1:2">
      <c r="A1799" s="23">
        <v>106452</v>
      </c>
      <c r="B1799" s="1" t="s">
        <v>1866</v>
      </c>
    </row>
    <row r="1800" spans="1:2">
      <c r="A1800" s="23">
        <v>106453</v>
      </c>
      <c r="B1800" s="1" t="s">
        <v>1867</v>
      </c>
    </row>
    <row r="1801" spans="1:2">
      <c r="A1801" s="23">
        <v>106454</v>
      </c>
      <c r="B1801" s="1" t="s">
        <v>1868</v>
      </c>
    </row>
    <row r="1802" spans="1:2">
      <c r="A1802" s="23">
        <v>106455</v>
      </c>
      <c r="B1802" s="1" t="s">
        <v>1869</v>
      </c>
    </row>
    <row r="1803" spans="1:2">
      <c r="A1803" s="23">
        <v>106456</v>
      </c>
      <c r="B1803" s="1" t="s">
        <v>1870</v>
      </c>
    </row>
    <row r="1804" spans="1:2">
      <c r="A1804" s="23">
        <v>106457</v>
      </c>
      <c r="B1804" s="1" t="s">
        <v>1871</v>
      </c>
    </row>
    <row r="1805" spans="1:2">
      <c r="A1805" s="23">
        <v>106458</v>
      </c>
      <c r="B1805" s="1" t="s">
        <v>1872</v>
      </c>
    </row>
    <row r="1806" spans="1:2">
      <c r="A1806" s="23">
        <v>106459</v>
      </c>
      <c r="B1806" s="1" t="s">
        <v>1873</v>
      </c>
    </row>
    <row r="1807" spans="1:2">
      <c r="A1807" s="23">
        <v>106460</v>
      </c>
      <c r="B1807" s="1" t="s">
        <v>1874</v>
      </c>
    </row>
    <row r="1808" spans="1:2">
      <c r="A1808" s="23">
        <v>106461</v>
      </c>
      <c r="B1808" s="1" t="s">
        <v>1875</v>
      </c>
    </row>
    <row r="1809" spans="1:2">
      <c r="A1809" s="23">
        <v>106462</v>
      </c>
      <c r="B1809" s="1" t="s">
        <v>1876</v>
      </c>
    </row>
    <row r="1810" spans="1:2">
      <c r="A1810" s="23">
        <v>106463</v>
      </c>
      <c r="B1810" s="1" t="s">
        <v>1877</v>
      </c>
    </row>
    <row r="1811" spans="1:2">
      <c r="A1811" s="23">
        <v>106464</v>
      </c>
      <c r="B1811" s="1" t="s">
        <v>1878</v>
      </c>
    </row>
    <row r="1812" spans="1:2">
      <c r="A1812" s="23">
        <v>106465</v>
      </c>
      <c r="B1812" s="1" t="s">
        <v>1879</v>
      </c>
    </row>
    <row r="1813" spans="1:2">
      <c r="A1813" s="23">
        <v>106466</v>
      </c>
      <c r="B1813" s="1" t="s">
        <v>1880</v>
      </c>
    </row>
    <row r="1814" spans="1:2">
      <c r="A1814" s="23">
        <v>106467</v>
      </c>
      <c r="B1814" s="1" t="s">
        <v>1881</v>
      </c>
    </row>
    <row r="1815" spans="1:2">
      <c r="A1815" s="23">
        <v>106468</v>
      </c>
      <c r="B1815" s="1" t="s">
        <v>1882</v>
      </c>
    </row>
    <row r="1816" spans="1:2">
      <c r="A1816" s="23">
        <v>106469</v>
      </c>
      <c r="B1816" s="1" t="s">
        <v>1883</v>
      </c>
    </row>
    <row r="1817" spans="1:2">
      <c r="A1817" s="23">
        <v>106470</v>
      </c>
      <c r="B1817" s="1" t="s">
        <v>1884</v>
      </c>
    </row>
    <row r="1818" spans="1:2">
      <c r="A1818" s="23">
        <v>106471</v>
      </c>
      <c r="B1818" s="1" t="s">
        <v>1885</v>
      </c>
    </row>
    <row r="1819" spans="1:2">
      <c r="A1819" s="23">
        <v>106472</v>
      </c>
      <c r="B1819" s="1" t="s">
        <v>1886</v>
      </c>
    </row>
    <row r="1820" spans="1:2">
      <c r="A1820" s="23">
        <v>106473</v>
      </c>
      <c r="B1820" s="1" t="s">
        <v>1887</v>
      </c>
    </row>
    <row r="1821" spans="1:2">
      <c r="A1821" s="23">
        <v>106474</v>
      </c>
      <c r="B1821" s="1" t="s">
        <v>1888</v>
      </c>
    </row>
    <row r="1822" spans="1:2">
      <c r="A1822" s="23">
        <v>106475</v>
      </c>
      <c r="B1822" s="1" t="s">
        <v>1889</v>
      </c>
    </row>
    <row r="1823" spans="1:2">
      <c r="A1823" s="23">
        <v>106476</v>
      </c>
      <c r="B1823" s="1" t="s">
        <v>1890</v>
      </c>
    </row>
    <row r="1824" spans="1:2">
      <c r="A1824" s="23">
        <v>106477</v>
      </c>
      <c r="B1824" s="1" t="s">
        <v>1891</v>
      </c>
    </row>
    <row r="1825" spans="1:2">
      <c r="A1825" s="23">
        <v>106478</v>
      </c>
      <c r="B1825" s="1" t="s">
        <v>1892</v>
      </c>
    </row>
    <row r="1826" spans="1:2">
      <c r="A1826" s="23">
        <v>106479</v>
      </c>
      <c r="B1826" s="1" t="s">
        <v>1893</v>
      </c>
    </row>
    <row r="1827" spans="1:2">
      <c r="A1827" s="23">
        <v>106480</v>
      </c>
      <c r="B1827" s="1" t="s">
        <v>1894</v>
      </c>
    </row>
    <row r="1828" spans="1:2">
      <c r="A1828" s="23">
        <v>106481</v>
      </c>
      <c r="B1828" s="1" t="s">
        <v>1895</v>
      </c>
    </row>
    <row r="1829" spans="1:2">
      <c r="A1829" s="23">
        <v>106482</v>
      </c>
      <c r="B1829" s="1" t="s">
        <v>1896</v>
      </c>
    </row>
    <row r="1830" spans="1:2">
      <c r="A1830" s="23">
        <v>106483</v>
      </c>
      <c r="B1830" s="1" t="s">
        <v>1897</v>
      </c>
    </row>
    <row r="1831" spans="1:2">
      <c r="A1831" s="23">
        <v>106484</v>
      </c>
      <c r="B1831" s="1" t="s">
        <v>1898</v>
      </c>
    </row>
    <row r="1832" spans="1:2">
      <c r="A1832" s="23">
        <v>106485</v>
      </c>
      <c r="B1832" s="1" t="s">
        <v>1899</v>
      </c>
    </row>
    <row r="1833" spans="1:2">
      <c r="A1833" s="23">
        <v>106486</v>
      </c>
      <c r="B1833" s="1" t="s">
        <v>1900</v>
      </c>
    </row>
    <row r="1834" spans="1:2">
      <c r="A1834" s="23">
        <v>106487</v>
      </c>
      <c r="B1834" s="1" t="s">
        <v>1901</v>
      </c>
    </row>
    <row r="1835" spans="1:2">
      <c r="A1835" s="23">
        <v>106488</v>
      </c>
      <c r="B1835" s="1" t="s">
        <v>1902</v>
      </c>
    </row>
    <row r="1836" spans="1:2">
      <c r="A1836" s="23">
        <v>106489</v>
      </c>
      <c r="B1836" s="1" t="s">
        <v>1903</v>
      </c>
    </row>
    <row r="1837" spans="1:2">
      <c r="A1837" s="23">
        <v>106490</v>
      </c>
      <c r="B1837" s="1" t="s">
        <v>1904</v>
      </c>
    </row>
    <row r="1838" spans="1:2">
      <c r="A1838" s="23">
        <v>106491</v>
      </c>
      <c r="B1838" s="1" t="s">
        <v>1905</v>
      </c>
    </row>
    <row r="1839" spans="1:2">
      <c r="A1839" s="23">
        <v>106492</v>
      </c>
      <c r="B1839" s="1" t="s">
        <v>1906</v>
      </c>
    </row>
    <row r="1840" spans="1:2">
      <c r="A1840" s="23">
        <v>106493</v>
      </c>
      <c r="B1840" s="1" t="s">
        <v>1907</v>
      </c>
    </row>
    <row r="1841" spans="1:2">
      <c r="A1841" s="23">
        <v>106494</v>
      </c>
      <c r="B1841" s="1" t="s">
        <v>1908</v>
      </c>
    </row>
    <row r="1842" spans="1:2">
      <c r="A1842" s="23">
        <v>106495</v>
      </c>
      <c r="B1842" s="1" t="s">
        <v>1909</v>
      </c>
    </row>
    <row r="1843" spans="1:2">
      <c r="A1843" s="23">
        <v>106496</v>
      </c>
      <c r="B1843" s="1" t="s">
        <v>1910</v>
      </c>
    </row>
    <row r="1844" spans="1:2">
      <c r="A1844" s="23">
        <v>106497</v>
      </c>
      <c r="B1844" s="1" t="s">
        <v>1911</v>
      </c>
    </row>
    <row r="1845" spans="1:2">
      <c r="A1845" s="23">
        <v>106498</v>
      </c>
      <c r="B1845" s="1" t="s">
        <v>1912</v>
      </c>
    </row>
    <row r="1846" spans="1:2">
      <c r="A1846" s="23">
        <v>106499</v>
      </c>
      <c r="B1846" s="1" t="s">
        <v>1913</v>
      </c>
    </row>
    <row r="1847" spans="1:2">
      <c r="A1847" s="23">
        <v>106500</v>
      </c>
      <c r="B1847" s="1" t="s">
        <v>1914</v>
      </c>
    </row>
    <row r="1848" spans="1:2">
      <c r="A1848" s="23">
        <v>106501</v>
      </c>
      <c r="B1848" s="1" t="s">
        <v>1915</v>
      </c>
    </row>
    <row r="1849" spans="1:2">
      <c r="A1849" s="23">
        <v>106502</v>
      </c>
      <c r="B1849" s="1" t="s">
        <v>1916</v>
      </c>
    </row>
    <row r="1850" spans="1:2">
      <c r="A1850" s="23">
        <v>106503</v>
      </c>
      <c r="B1850" s="1" t="s">
        <v>1917</v>
      </c>
    </row>
    <row r="1851" spans="1:2">
      <c r="A1851" s="23">
        <v>106504</v>
      </c>
      <c r="B1851" s="1" t="s">
        <v>1918</v>
      </c>
    </row>
    <row r="1852" spans="1:2">
      <c r="A1852" s="23">
        <v>106505</v>
      </c>
      <c r="B1852" s="1" t="s">
        <v>1919</v>
      </c>
    </row>
    <row r="1853" spans="1:2">
      <c r="A1853" s="23">
        <v>106506</v>
      </c>
      <c r="B1853" s="1" t="s">
        <v>1920</v>
      </c>
    </row>
    <row r="1854" spans="1:2">
      <c r="A1854" s="23">
        <v>106507</v>
      </c>
      <c r="B1854" s="1" t="s">
        <v>1921</v>
      </c>
    </row>
    <row r="1855" spans="1:2">
      <c r="A1855" s="23">
        <v>106508</v>
      </c>
      <c r="B1855" s="1" t="s">
        <v>1922</v>
      </c>
    </row>
    <row r="1856" spans="1:2">
      <c r="A1856" s="23">
        <v>106509</v>
      </c>
      <c r="B1856" s="1" t="s">
        <v>1923</v>
      </c>
    </row>
    <row r="1857" spans="1:2">
      <c r="A1857" s="23">
        <v>106510</v>
      </c>
      <c r="B1857" s="1" t="s">
        <v>1924</v>
      </c>
    </row>
    <row r="1858" spans="1:2">
      <c r="A1858" s="23">
        <v>106511</v>
      </c>
      <c r="B1858" s="1" t="s">
        <v>1925</v>
      </c>
    </row>
    <row r="1859" spans="1:2">
      <c r="A1859" s="23">
        <v>106512</v>
      </c>
      <c r="B1859" s="1" t="s">
        <v>1926</v>
      </c>
    </row>
    <row r="1860" spans="1:2">
      <c r="A1860" s="23">
        <v>106513</v>
      </c>
      <c r="B1860" s="1" t="s">
        <v>1927</v>
      </c>
    </row>
    <row r="1861" spans="1:2">
      <c r="A1861" s="23">
        <v>106514</v>
      </c>
      <c r="B1861" s="1" t="s">
        <v>1928</v>
      </c>
    </row>
    <row r="1862" spans="1:2">
      <c r="A1862" s="23">
        <v>106515</v>
      </c>
      <c r="B1862" s="1" t="s">
        <v>1929</v>
      </c>
    </row>
    <row r="1863" spans="1:2">
      <c r="A1863" s="23">
        <v>106516</v>
      </c>
      <c r="B1863" s="1" t="s">
        <v>1930</v>
      </c>
    </row>
    <row r="1864" spans="1:2">
      <c r="A1864" s="23">
        <v>106517</v>
      </c>
      <c r="B1864" s="1" t="s">
        <v>1931</v>
      </c>
    </row>
    <row r="1865" spans="1:2">
      <c r="A1865" s="23">
        <v>106518</v>
      </c>
      <c r="B1865" s="1" t="s">
        <v>1932</v>
      </c>
    </row>
    <row r="1866" spans="1:2">
      <c r="A1866" s="23">
        <v>106519</v>
      </c>
      <c r="B1866" s="1" t="s">
        <v>1933</v>
      </c>
    </row>
    <row r="1867" spans="1:2">
      <c r="A1867" s="23">
        <v>106520</v>
      </c>
      <c r="B1867" s="1" t="s">
        <v>1934</v>
      </c>
    </row>
    <row r="1868" spans="1:2">
      <c r="A1868" s="23">
        <v>106521</v>
      </c>
      <c r="B1868" s="1" t="s">
        <v>1935</v>
      </c>
    </row>
    <row r="1869" spans="1:2">
      <c r="A1869" s="23">
        <v>106522</v>
      </c>
      <c r="B1869" s="1" t="s">
        <v>1936</v>
      </c>
    </row>
    <row r="1870" spans="1:2">
      <c r="A1870" s="23">
        <v>106523</v>
      </c>
      <c r="B1870" s="1" t="s">
        <v>1937</v>
      </c>
    </row>
    <row r="1871" spans="1:2">
      <c r="A1871" s="23">
        <v>106524</v>
      </c>
      <c r="B1871" s="1" t="s">
        <v>1938</v>
      </c>
    </row>
    <row r="1872" spans="1:2">
      <c r="A1872" s="23">
        <v>106525</v>
      </c>
      <c r="B1872" s="1" t="s">
        <v>1939</v>
      </c>
    </row>
    <row r="1873" spans="1:2">
      <c r="A1873" s="23">
        <v>106526</v>
      </c>
      <c r="B1873" s="1" t="s">
        <v>1940</v>
      </c>
    </row>
    <row r="1874" spans="1:2">
      <c r="A1874" s="23">
        <v>106527</v>
      </c>
      <c r="B1874" s="1" t="s">
        <v>1941</v>
      </c>
    </row>
    <row r="1875" spans="1:2">
      <c r="A1875" s="23">
        <v>106528</v>
      </c>
      <c r="B1875" s="1" t="s">
        <v>1942</v>
      </c>
    </row>
    <row r="1876" spans="1:2">
      <c r="A1876" s="23">
        <v>106529</v>
      </c>
      <c r="B1876" s="1" t="s">
        <v>1943</v>
      </c>
    </row>
    <row r="1877" spans="1:2">
      <c r="A1877" s="23">
        <v>106530</v>
      </c>
      <c r="B1877" s="1" t="s">
        <v>1944</v>
      </c>
    </row>
    <row r="1878" spans="1:2">
      <c r="A1878" s="23">
        <v>106531</v>
      </c>
      <c r="B1878" s="1" t="s">
        <v>1945</v>
      </c>
    </row>
    <row r="1879" spans="1:2">
      <c r="A1879" s="23">
        <v>106532</v>
      </c>
      <c r="B1879" s="1" t="s">
        <v>1946</v>
      </c>
    </row>
    <row r="1880" spans="1:2">
      <c r="A1880" s="23">
        <v>106533</v>
      </c>
      <c r="B1880" s="1" t="s">
        <v>1947</v>
      </c>
    </row>
    <row r="1881" spans="1:2">
      <c r="A1881" s="23">
        <v>106534</v>
      </c>
      <c r="B1881" s="1" t="s">
        <v>1948</v>
      </c>
    </row>
    <row r="1882" spans="1:2">
      <c r="A1882" s="23">
        <v>106535</v>
      </c>
      <c r="B1882" s="1" t="s">
        <v>1949</v>
      </c>
    </row>
    <row r="1883" spans="1:2">
      <c r="A1883" s="23">
        <v>106536</v>
      </c>
      <c r="B1883" s="1" t="s">
        <v>1950</v>
      </c>
    </row>
    <row r="1884" spans="1:2">
      <c r="A1884" s="23">
        <v>106537</v>
      </c>
      <c r="B1884" s="1" t="s">
        <v>1951</v>
      </c>
    </row>
    <row r="1885" spans="1:2">
      <c r="A1885" s="23">
        <v>106538</v>
      </c>
      <c r="B1885" s="1" t="s">
        <v>1952</v>
      </c>
    </row>
    <row r="1886" spans="1:2">
      <c r="A1886" s="23">
        <v>106539</v>
      </c>
      <c r="B1886" s="1" t="s">
        <v>1953</v>
      </c>
    </row>
    <row r="1887" spans="1:2">
      <c r="A1887" s="23">
        <v>106540</v>
      </c>
      <c r="B1887" s="1" t="s">
        <v>1954</v>
      </c>
    </row>
    <row r="1888" spans="1:2">
      <c r="A1888" s="23">
        <v>106541</v>
      </c>
      <c r="B1888" s="1" t="s">
        <v>1955</v>
      </c>
    </row>
    <row r="1889" spans="1:2">
      <c r="A1889" s="23">
        <v>106542</v>
      </c>
      <c r="B1889" s="1" t="s">
        <v>1956</v>
      </c>
    </row>
    <row r="1890" spans="1:2">
      <c r="A1890" s="23">
        <v>106543</v>
      </c>
      <c r="B1890" s="1" t="s">
        <v>1957</v>
      </c>
    </row>
    <row r="1891" spans="1:2">
      <c r="A1891" s="23">
        <v>106544</v>
      </c>
      <c r="B1891" s="1" t="s">
        <v>1958</v>
      </c>
    </row>
    <row r="1892" spans="1:2">
      <c r="A1892" s="23">
        <v>106545</v>
      </c>
      <c r="B1892" s="1" t="s">
        <v>1959</v>
      </c>
    </row>
    <row r="1893" spans="1:2">
      <c r="A1893" s="23">
        <v>106546</v>
      </c>
      <c r="B1893" s="1" t="s">
        <v>1960</v>
      </c>
    </row>
    <row r="1894" spans="1:2">
      <c r="A1894" s="23">
        <v>106547</v>
      </c>
      <c r="B1894" s="1" t="s">
        <v>1961</v>
      </c>
    </row>
    <row r="1895" spans="1:2">
      <c r="A1895" s="23">
        <v>106548</v>
      </c>
      <c r="B1895" s="1" t="s">
        <v>1962</v>
      </c>
    </row>
    <row r="1896" spans="1:2">
      <c r="A1896" s="23">
        <v>106549</v>
      </c>
      <c r="B1896" s="1" t="s">
        <v>1963</v>
      </c>
    </row>
    <row r="1897" spans="1:2">
      <c r="A1897" s="23">
        <v>106550</v>
      </c>
      <c r="B1897" s="1" t="s">
        <v>1964</v>
      </c>
    </row>
    <row r="1898" spans="1:2">
      <c r="A1898" s="23">
        <v>106551</v>
      </c>
      <c r="B1898" s="1" t="s">
        <v>1965</v>
      </c>
    </row>
    <row r="1899" spans="1:2">
      <c r="A1899" s="23">
        <v>106552</v>
      </c>
      <c r="B1899" s="1" t="s">
        <v>1966</v>
      </c>
    </row>
    <row r="1900" spans="1:2">
      <c r="A1900" s="23">
        <v>106553</v>
      </c>
      <c r="B1900" s="1" t="s">
        <v>1967</v>
      </c>
    </row>
    <row r="1901" spans="1:2">
      <c r="A1901" s="23">
        <v>106554</v>
      </c>
      <c r="B1901" s="1" t="s">
        <v>1968</v>
      </c>
    </row>
    <row r="1902" spans="1:2">
      <c r="A1902" s="23">
        <v>106555</v>
      </c>
      <c r="B1902" s="1" t="s">
        <v>1969</v>
      </c>
    </row>
    <row r="1903" spans="1:2">
      <c r="A1903" s="23">
        <v>106556</v>
      </c>
      <c r="B1903" s="1" t="s">
        <v>1970</v>
      </c>
    </row>
    <row r="1904" spans="1:2">
      <c r="A1904" s="23">
        <v>106557</v>
      </c>
      <c r="B1904" s="1" t="s">
        <v>1971</v>
      </c>
    </row>
    <row r="1905" spans="1:2">
      <c r="A1905" s="23">
        <v>106558</v>
      </c>
      <c r="B1905" s="1" t="s">
        <v>1972</v>
      </c>
    </row>
    <row r="1906" spans="1:2">
      <c r="A1906" s="23">
        <v>106559</v>
      </c>
      <c r="B1906" s="1" t="s">
        <v>1973</v>
      </c>
    </row>
    <row r="1907" spans="1:2">
      <c r="A1907" s="23">
        <v>106560</v>
      </c>
      <c r="B1907" s="1" t="s">
        <v>1974</v>
      </c>
    </row>
    <row r="1908" spans="1:2">
      <c r="A1908" s="23">
        <v>106561</v>
      </c>
      <c r="B1908" s="1" t="s">
        <v>1975</v>
      </c>
    </row>
    <row r="1909" spans="1:2">
      <c r="A1909" s="23">
        <v>106562</v>
      </c>
      <c r="B1909" s="1" t="s">
        <v>1976</v>
      </c>
    </row>
    <row r="1910" spans="1:2">
      <c r="A1910" s="23">
        <v>106563</v>
      </c>
      <c r="B1910" s="1" t="s">
        <v>1977</v>
      </c>
    </row>
    <row r="1911" spans="1:2">
      <c r="A1911" s="23">
        <v>106564</v>
      </c>
      <c r="B1911" s="1" t="s">
        <v>1978</v>
      </c>
    </row>
    <row r="1912" spans="1:2">
      <c r="A1912" s="23">
        <v>106565</v>
      </c>
      <c r="B1912" s="1" t="s">
        <v>1979</v>
      </c>
    </row>
    <row r="1913" spans="1:2">
      <c r="A1913" s="23">
        <v>106566</v>
      </c>
      <c r="B1913" s="1" t="s">
        <v>1980</v>
      </c>
    </row>
    <row r="1914" spans="1:2">
      <c r="A1914" s="23">
        <v>106567</v>
      </c>
      <c r="B1914" s="1" t="s">
        <v>1981</v>
      </c>
    </row>
    <row r="1915" spans="1:2">
      <c r="A1915" s="23">
        <v>106568</v>
      </c>
      <c r="B1915" s="1" t="s">
        <v>1982</v>
      </c>
    </row>
    <row r="1916" spans="1:2">
      <c r="A1916" s="23">
        <v>106569</v>
      </c>
      <c r="B1916" s="1" t="s">
        <v>1983</v>
      </c>
    </row>
    <row r="1917" spans="1:2">
      <c r="A1917" s="23">
        <v>106570</v>
      </c>
      <c r="B1917" s="1" t="s">
        <v>1984</v>
      </c>
    </row>
    <row r="1918" spans="1:2">
      <c r="A1918" s="23">
        <v>106571</v>
      </c>
      <c r="B1918" s="1" t="s">
        <v>1985</v>
      </c>
    </row>
    <row r="1919" spans="1:2">
      <c r="A1919" s="23">
        <v>106572</v>
      </c>
      <c r="B1919" s="1" t="s">
        <v>1986</v>
      </c>
    </row>
    <row r="1920" spans="1:2">
      <c r="A1920" s="23">
        <v>106573</v>
      </c>
      <c r="B1920" s="1" t="s">
        <v>1987</v>
      </c>
    </row>
    <row r="1921" spans="1:2">
      <c r="A1921" s="23">
        <v>106574</v>
      </c>
      <c r="B1921" s="1" t="s">
        <v>1988</v>
      </c>
    </row>
    <row r="1922" spans="1:2">
      <c r="A1922" s="23">
        <v>106575</v>
      </c>
      <c r="B1922" s="1" t="s">
        <v>1989</v>
      </c>
    </row>
    <row r="1923" spans="1:2">
      <c r="A1923" s="23">
        <v>106576</v>
      </c>
      <c r="B1923" s="1" t="s">
        <v>1990</v>
      </c>
    </row>
    <row r="1924" spans="1:2">
      <c r="A1924" s="23">
        <v>106577</v>
      </c>
      <c r="B1924" s="1" t="s">
        <v>1991</v>
      </c>
    </row>
    <row r="1925" spans="1:2">
      <c r="A1925" s="23">
        <v>106578</v>
      </c>
      <c r="B1925" s="1" t="s">
        <v>1992</v>
      </c>
    </row>
    <row r="1926" spans="1:2">
      <c r="A1926" s="23">
        <v>106579</v>
      </c>
      <c r="B1926" s="1" t="s">
        <v>1993</v>
      </c>
    </row>
    <row r="1927" spans="1:2">
      <c r="A1927" s="23">
        <v>106580</v>
      </c>
      <c r="B1927" s="1" t="s">
        <v>1994</v>
      </c>
    </row>
    <row r="1928" spans="1:2">
      <c r="A1928" s="23">
        <v>106581</v>
      </c>
      <c r="B1928" s="1" t="s">
        <v>1995</v>
      </c>
    </row>
    <row r="1929" spans="1:2">
      <c r="A1929" s="23">
        <v>106582</v>
      </c>
      <c r="B1929" s="1" t="s">
        <v>1996</v>
      </c>
    </row>
    <row r="1930" spans="1:2">
      <c r="A1930" s="23">
        <v>106583</v>
      </c>
      <c r="B1930" s="1" t="s">
        <v>1997</v>
      </c>
    </row>
    <row r="1931" spans="1:2">
      <c r="A1931" s="23">
        <v>106584</v>
      </c>
      <c r="B1931" s="1" t="s">
        <v>1998</v>
      </c>
    </row>
    <row r="1932" spans="1:2">
      <c r="A1932" s="23">
        <v>106585</v>
      </c>
      <c r="B1932" s="1" t="s">
        <v>1999</v>
      </c>
    </row>
    <row r="1933" spans="1:2">
      <c r="A1933" s="23">
        <v>106586</v>
      </c>
      <c r="B1933" s="1" t="s">
        <v>2000</v>
      </c>
    </row>
    <row r="1934" spans="1:2">
      <c r="A1934" s="23">
        <v>106587</v>
      </c>
      <c r="B1934" s="1" t="s">
        <v>2001</v>
      </c>
    </row>
    <row r="1935" spans="1:2">
      <c r="A1935" s="23">
        <v>106588</v>
      </c>
      <c r="B1935" s="1" t="s">
        <v>2002</v>
      </c>
    </row>
    <row r="1936" spans="1:2">
      <c r="A1936" s="23">
        <v>106589</v>
      </c>
      <c r="B1936" s="1" t="s">
        <v>2003</v>
      </c>
    </row>
    <row r="1937" spans="1:2">
      <c r="A1937" s="23">
        <v>106590</v>
      </c>
      <c r="B1937" s="1" t="s">
        <v>2004</v>
      </c>
    </row>
    <row r="1938" spans="1:2">
      <c r="A1938" s="23">
        <v>106591</v>
      </c>
      <c r="B1938" s="1" t="s">
        <v>2005</v>
      </c>
    </row>
    <row r="1939" spans="1:2">
      <c r="A1939" s="23">
        <v>106592</v>
      </c>
      <c r="B1939" s="1" t="s">
        <v>2006</v>
      </c>
    </row>
    <row r="1940" spans="1:2">
      <c r="A1940" s="23">
        <v>106593</v>
      </c>
      <c r="B1940" s="1" t="s">
        <v>2007</v>
      </c>
    </row>
    <row r="1941" spans="1:2">
      <c r="A1941" s="23">
        <v>106594</v>
      </c>
      <c r="B1941" s="1" t="s">
        <v>2008</v>
      </c>
    </row>
    <row r="1942" spans="1:2">
      <c r="A1942" s="23">
        <v>106595</v>
      </c>
      <c r="B1942" s="1" t="s">
        <v>2009</v>
      </c>
    </row>
    <row r="1943" spans="1:2">
      <c r="A1943" s="23">
        <v>106596</v>
      </c>
      <c r="B1943" s="1" t="s">
        <v>2010</v>
      </c>
    </row>
    <row r="1944" spans="1:2">
      <c r="A1944" s="23">
        <v>106597</v>
      </c>
      <c r="B1944" s="1" t="s">
        <v>2011</v>
      </c>
    </row>
    <row r="1945" spans="1:2">
      <c r="A1945" s="23">
        <v>106598</v>
      </c>
      <c r="B1945" s="1" t="s">
        <v>2012</v>
      </c>
    </row>
    <row r="1946" spans="1:2">
      <c r="A1946" s="23">
        <v>106599</v>
      </c>
      <c r="B1946" s="1" t="s">
        <v>2013</v>
      </c>
    </row>
    <row r="1947" spans="1:2">
      <c r="A1947" s="23">
        <v>106600</v>
      </c>
      <c r="B1947" s="1" t="s">
        <v>2014</v>
      </c>
    </row>
    <row r="1948" spans="1:2">
      <c r="A1948" s="23">
        <v>106601</v>
      </c>
      <c r="B1948" s="1" t="s">
        <v>2015</v>
      </c>
    </row>
    <row r="1949" spans="1:2">
      <c r="A1949" s="23">
        <v>106602</v>
      </c>
      <c r="B1949" s="1" t="s">
        <v>2016</v>
      </c>
    </row>
    <row r="1950" spans="1:2">
      <c r="A1950" s="23">
        <v>106603</v>
      </c>
      <c r="B1950" s="1" t="s">
        <v>2017</v>
      </c>
    </row>
    <row r="1951" spans="1:2">
      <c r="A1951" s="23">
        <v>106604</v>
      </c>
      <c r="B1951" s="1" t="s">
        <v>2018</v>
      </c>
    </row>
    <row r="1952" spans="1:2">
      <c r="A1952" s="23">
        <v>106605</v>
      </c>
      <c r="B1952" s="1" t="s">
        <v>2019</v>
      </c>
    </row>
    <row r="1953" spans="1:2">
      <c r="A1953" s="23">
        <v>106606</v>
      </c>
      <c r="B1953" s="1" t="s">
        <v>2020</v>
      </c>
    </row>
    <row r="1954" spans="1:2">
      <c r="A1954" s="23">
        <v>106607</v>
      </c>
      <c r="B1954" s="1" t="s">
        <v>2021</v>
      </c>
    </row>
    <row r="1955" spans="1:2">
      <c r="A1955" s="23">
        <v>106608</v>
      </c>
      <c r="B1955" s="1" t="s">
        <v>2022</v>
      </c>
    </row>
    <row r="1956" spans="1:2">
      <c r="A1956" s="23">
        <v>106609</v>
      </c>
      <c r="B1956" s="1" t="s">
        <v>2023</v>
      </c>
    </row>
    <row r="1957" spans="1:2">
      <c r="A1957" s="23">
        <v>106610</v>
      </c>
      <c r="B1957" s="1" t="s">
        <v>2024</v>
      </c>
    </row>
    <row r="1958" spans="1:2">
      <c r="A1958" s="23">
        <v>106611</v>
      </c>
      <c r="B1958" s="1" t="s">
        <v>2025</v>
      </c>
    </row>
    <row r="1959" spans="1:2">
      <c r="A1959" s="23">
        <v>106612</v>
      </c>
      <c r="B1959" s="1" t="s">
        <v>2026</v>
      </c>
    </row>
    <row r="1960" spans="1:2">
      <c r="A1960" s="23">
        <v>106613</v>
      </c>
      <c r="B1960" s="1" t="s">
        <v>2027</v>
      </c>
    </row>
    <row r="1961" spans="1:2">
      <c r="A1961" s="23">
        <v>106614</v>
      </c>
      <c r="B1961" s="1" t="s">
        <v>2028</v>
      </c>
    </row>
    <row r="1962" spans="1:2">
      <c r="A1962" s="23">
        <v>106615</v>
      </c>
      <c r="B1962" s="1" t="s">
        <v>2029</v>
      </c>
    </row>
    <row r="1963" spans="1:2">
      <c r="A1963" s="23">
        <v>106616</v>
      </c>
      <c r="B1963" s="1" t="s">
        <v>2030</v>
      </c>
    </row>
    <row r="1964" spans="1:2">
      <c r="A1964" s="23">
        <v>106617</v>
      </c>
      <c r="B1964" s="1" t="s">
        <v>2031</v>
      </c>
    </row>
    <row r="1965" spans="1:2">
      <c r="A1965" s="23">
        <v>106618</v>
      </c>
      <c r="B1965" s="1" t="s">
        <v>2032</v>
      </c>
    </row>
    <row r="1966" spans="1:2">
      <c r="A1966" s="23">
        <v>106619</v>
      </c>
      <c r="B1966" s="1" t="s">
        <v>2033</v>
      </c>
    </row>
    <row r="1967" spans="1:2">
      <c r="A1967" s="23">
        <v>106620</v>
      </c>
      <c r="B1967" s="1" t="s">
        <v>2034</v>
      </c>
    </row>
    <row r="1968" spans="1:2">
      <c r="A1968" s="23">
        <v>106621</v>
      </c>
      <c r="B1968" s="1" t="s">
        <v>2035</v>
      </c>
    </row>
    <row r="1969" spans="1:2">
      <c r="A1969" s="23">
        <v>106622</v>
      </c>
      <c r="B1969" s="1" t="s">
        <v>2036</v>
      </c>
    </row>
    <row r="1970" spans="1:2">
      <c r="A1970" s="23">
        <v>106623</v>
      </c>
      <c r="B1970" s="1" t="s">
        <v>2037</v>
      </c>
    </row>
    <row r="1971" spans="1:2">
      <c r="A1971" s="23">
        <v>106624</v>
      </c>
      <c r="B1971" s="1" t="s">
        <v>2038</v>
      </c>
    </row>
    <row r="1972" spans="1:2">
      <c r="A1972" s="23">
        <v>106625</v>
      </c>
      <c r="B1972" s="1" t="s">
        <v>2039</v>
      </c>
    </row>
    <row r="1973" spans="1:2">
      <c r="A1973" s="23">
        <v>106626</v>
      </c>
      <c r="B1973" s="1" t="s">
        <v>2040</v>
      </c>
    </row>
    <row r="1974" spans="1:2">
      <c r="A1974" s="23">
        <v>106627</v>
      </c>
      <c r="B1974" s="1" t="s">
        <v>2041</v>
      </c>
    </row>
    <row r="1975" spans="1:2">
      <c r="A1975" s="23">
        <v>106628</v>
      </c>
      <c r="B1975" s="1" t="s">
        <v>2042</v>
      </c>
    </row>
    <row r="1976" spans="1:2">
      <c r="A1976" s="23">
        <v>106629</v>
      </c>
      <c r="B1976" s="1" t="s">
        <v>2043</v>
      </c>
    </row>
    <row r="1977" spans="1:2">
      <c r="A1977" s="23">
        <v>106630</v>
      </c>
      <c r="B1977" s="1" t="s">
        <v>2044</v>
      </c>
    </row>
    <row r="1978" spans="1:2">
      <c r="A1978" s="23">
        <v>106631</v>
      </c>
      <c r="B1978" s="1" t="s">
        <v>2045</v>
      </c>
    </row>
    <row r="1979" spans="1:2">
      <c r="A1979" s="23">
        <v>106632</v>
      </c>
      <c r="B1979" s="1" t="s">
        <v>2046</v>
      </c>
    </row>
    <row r="1980" spans="1:2">
      <c r="A1980" s="23">
        <v>106633</v>
      </c>
      <c r="B1980" s="1" t="s">
        <v>2047</v>
      </c>
    </row>
    <row r="1981" spans="1:2">
      <c r="A1981" s="23">
        <v>106634</v>
      </c>
      <c r="B1981" s="1" t="s">
        <v>2048</v>
      </c>
    </row>
    <row r="1982" spans="1:2">
      <c r="A1982" s="23">
        <v>106635</v>
      </c>
      <c r="B1982" s="1" t="s">
        <v>2049</v>
      </c>
    </row>
    <row r="1983" spans="1:2">
      <c r="A1983" s="23">
        <v>106636</v>
      </c>
      <c r="B1983" s="1" t="s">
        <v>2050</v>
      </c>
    </row>
    <row r="1984" spans="1:2">
      <c r="A1984" s="23">
        <v>106637</v>
      </c>
      <c r="B1984" s="1" t="s">
        <v>2051</v>
      </c>
    </row>
    <row r="1985" spans="1:2">
      <c r="A1985" s="23">
        <v>106638</v>
      </c>
      <c r="B1985" s="1" t="s">
        <v>2052</v>
      </c>
    </row>
    <row r="1986" spans="1:2">
      <c r="A1986" s="23">
        <v>106639</v>
      </c>
      <c r="B1986" s="1" t="s">
        <v>2053</v>
      </c>
    </row>
    <row r="1987" spans="1:2">
      <c r="A1987" s="23">
        <v>106640</v>
      </c>
      <c r="B1987" s="1" t="s">
        <v>2054</v>
      </c>
    </row>
    <row r="1988" spans="1:2">
      <c r="A1988" s="23">
        <v>106641</v>
      </c>
      <c r="B1988" s="1" t="s">
        <v>2055</v>
      </c>
    </row>
    <row r="1989" spans="1:2">
      <c r="A1989" s="23">
        <v>106642</v>
      </c>
      <c r="B1989" s="1" t="s">
        <v>2056</v>
      </c>
    </row>
    <row r="1990" spans="1:2">
      <c r="A1990" s="23">
        <v>106643</v>
      </c>
      <c r="B1990" s="1" t="s">
        <v>2057</v>
      </c>
    </row>
    <row r="1991" spans="1:2">
      <c r="A1991" s="23">
        <v>106644</v>
      </c>
      <c r="B1991" s="1" t="s">
        <v>2058</v>
      </c>
    </row>
    <row r="1992" spans="1:2">
      <c r="A1992" s="23">
        <v>106645</v>
      </c>
      <c r="B1992" s="1" t="s">
        <v>2059</v>
      </c>
    </row>
    <row r="1993" spans="1:2">
      <c r="A1993" s="23">
        <v>106646</v>
      </c>
      <c r="B1993" s="1" t="s">
        <v>2060</v>
      </c>
    </row>
    <row r="1994" spans="1:2">
      <c r="A1994" s="23">
        <v>106647</v>
      </c>
      <c r="B1994" s="1" t="s">
        <v>2061</v>
      </c>
    </row>
    <row r="1995" spans="1:2">
      <c r="A1995" s="23">
        <v>106648</v>
      </c>
      <c r="B1995" s="1" t="s">
        <v>2062</v>
      </c>
    </row>
    <row r="1996" spans="1:2">
      <c r="A1996" s="23">
        <v>106649</v>
      </c>
      <c r="B1996" s="1" t="s">
        <v>2063</v>
      </c>
    </row>
    <row r="1997" spans="1:2">
      <c r="A1997" s="23">
        <v>106650</v>
      </c>
      <c r="B1997" s="1" t="s">
        <v>2064</v>
      </c>
    </row>
    <row r="1998" spans="1:2">
      <c r="A1998" s="23">
        <v>106651</v>
      </c>
      <c r="B1998" s="1" t="s">
        <v>2065</v>
      </c>
    </row>
    <row r="1999" spans="1:2">
      <c r="A1999" s="23">
        <v>106652</v>
      </c>
      <c r="B1999" s="1" t="s">
        <v>2066</v>
      </c>
    </row>
    <row r="2000" spans="1:2">
      <c r="A2000" s="23">
        <v>106653</v>
      </c>
      <c r="B2000" s="1" t="s">
        <v>2067</v>
      </c>
    </row>
    <row r="2001" spans="1:2">
      <c r="A2001" s="23">
        <v>106654</v>
      </c>
      <c r="B2001" s="1" t="s">
        <v>2068</v>
      </c>
    </row>
    <row r="2002" spans="1:2">
      <c r="A2002" s="23">
        <v>106655</v>
      </c>
      <c r="B2002" s="1" t="s">
        <v>2069</v>
      </c>
    </row>
    <row r="2003" spans="1:2">
      <c r="A2003" s="23">
        <v>106656</v>
      </c>
      <c r="B2003" s="1" t="s">
        <v>2070</v>
      </c>
    </row>
    <row r="2004" spans="1:2">
      <c r="A2004" s="23">
        <v>106657</v>
      </c>
      <c r="B2004" s="1" t="s">
        <v>2071</v>
      </c>
    </row>
    <row r="2005" spans="1:2">
      <c r="A2005" s="23">
        <v>106658</v>
      </c>
      <c r="B2005" s="1" t="s">
        <v>2072</v>
      </c>
    </row>
    <row r="2006" spans="1:2">
      <c r="A2006" s="23">
        <v>106659</v>
      </c>
      <c r="B2006" s="1" t="s">
        <v>2073</v>
      </c>
    </row>
    <row r="2007" spans="1:2">
      <c r="A2007" s="23">
        <v>106660</v>
      </c>
      <c r="B2007" s="1" t="s">
        <v>2074</v>
      </c>
    </row>
    <row r="2008" spans="1:2">
      <c r="A2008" s="23">
        <v>106661</v>
      </c>
      <c r="B2008" s="1" t="s">
        <v>2075</v>
      </c>
    </row>
    <row r="2009" spans="1:2">
      <c r="A2009" s="23">
        <v>106662</v>
      </c>
      <c r="B2009" s="1" t="s">
        <v>2076</v>
      </c>
    </row>
    <row r="2010" spans="1:2">
      <c r="A2010" s="23">
        <v>106663</v>
      </c>
      <c r="B2010" s="1" t="s">
        <v>2077</v>
      </c>
    </row>
    <row r="2011" spans="1:2">
      <c r="A2011" s="23">
        <v>106664</v>
      </c>
      <c r="B2011" s="1" t="s">
        <v>2078</v>
      </c>
    </row>
    <row r="2012" spans="1:2">
      <c r="A2012" s="23">
        <v>106665</v>
      </c>
      <c r="B2012" s="1" t="s">
        <v>2079</v>
      </c>
    </row>
    <row r="2013" spans="1:2">
      <c r="A2013" s="23">
        <v>106666</v>
      </c>
      <c r="B2013" s="1" t="s">
        <v>2080</v>
      </c>
    </row>
    <row r="2014" spans="1:2">
      <c r="A2014" s="23">
        <v>106667</v>
      </c>
      <c r="B2014" s="1" t="s">
        <v>2081</v>
      </c>
    </row>
    <row r="2015" spans="1:2">
      <c r="A2015" s="23">
        <v>106668</v>
      </c>
      <c r="B2015" s="1" t="s">
        <v>2082</v>
      </c>
    </row>
    <row r="2016" spans="1:2">
      <c r="A2016" s="23">
        <v>106669</v>
      </c>
      <c r="B2016" s="1" t="s">
        <v>2083</v>
      </c>
    </row>
    <row r="2017" spans="1:2">
      <c r="A2017" s="23">
        <v>106670</v>
      </c>
      <c r="B2017" s="1" t="s">
        <v>2084</v>
      </c>
    </row>
    <row r="2018" spans="1:2">
      <c r="A2018" s="23">
        <v>106671</v>
      </c>
      <c r="B2018" s="1" t="s">
        <v>2085</v>
      </c>
    </row>
    <row r="2019" spans="1:2">
      <c r="A2019" s="23">
        <v>106672</v>
      </c>
      <c r="B2019" s="1" t="s">
        <v>2086</v>
      </c>
    </row>
    <row r="2020" spans="1:2">
      <c r="A2020" s="23">
        <v>106673</v>
      </c>
      <c r="B2020" s="1" t="s">
        <v>2087</v>
      </c>
    </row>
    <row r="2021" spans="1:2">
      <c r="A2021" s="23">
        <v>106674</v>
      </c>
      <c r="B2021" s="1" t="s">
        <v>2088</v>
      </c>
    </row>
    <row r="2022" spans="1:2">
      <c r="A2022" s="23">
        <v>106675</v>
      </c>
      <c r="B2022" s="1" t="s">
        <v>2089</v>
      </c>
    </row>
    <row r="2023" spans="1:2">
      <c r="A2023" s="23">
        <v>106676</v>
      </c>
      <c r="B2023" s="1" t="s">
        <v>2090</v>
      </c>
    </row>
    <row r="2024" spans="1:2">
      <c r="A2024" s="23">
        <v>106677</v>
      </c>
      <c r="B2024" s="1" t="s">
        <v>2091</v>
      </c>
    </row>
    <row r="2025" spans="1:2">
      <c r="A2025" s="23">
        <v>106678</v>
      </c>
      <c r="B2025" s="1" t="s">
        <v>2092</v>
      </c>
    </row>
    <row r="2026" spans="1:2">
      <c r="A2026" s="23">
        <v>106679</v>
      </c>
      <c r="B2026" s="1" t="s">
        <v>2093</v>
      </c>
    </row>
    <row r="2027" spans="1:2">
      <c r="A2027" s="23">
        <v>106680</v>
      </c>
      <c r="B2027" s="1" t="s">
        <v>2094</v>
      </c>
    </row>
    <row r="2028" spans="1:2">
      <c r="A2028" s="23">
        <v>106681</v>
      </c>
      <c r="B2028" s="1" t="s">
        <v>2095</v>
      </c>
    </row>
    <row r="2029" spans="1:2">
      <c r="A2029" s="23">
        <v>106682</v>
      </c>
      <c r="B2029" s="1" t="s">
        <v>2096</v>
      </c>
    </row>
    <row r="2030" spans="1:2">
      <c r="A2030" s="23">
        <v>106683</v>
      </c>
      <c r="B2030" s="1" t="s">
        <v>2097</v>
      </c>
    </row>
    <row r="2031" spans="1:2">
      <c r="A2031" s="23">
        <v>106684</v>
      </c>
      <c r="B2031" s="1" t="s">
        <v>2098</v>
      </c>
    </row>
    <row r="2032" spans="1:2">
      <c r="A2032" s="23">
        <v>106685</v>
      </c>
      <c r="B2032" s="1" t="s">
        <v>2099</v>
      </c>
    </row>
    <row r="2033" spans="1:2">
      <c r="A2033" s="23">
        <v>106686</v>
      </c>
      <c r="B2033" s="1" t="s">
        <v>2100</v>
      </c>
    </row>
    <row r="2034" spans="1:2">
      <c r="A2034" s="23">
        <v>106687</v>
      </c>
      <c r="B2034" s="1" t="s">
        <v>2101</v>
      </c>
    </row>
    <row r="2035" spans="1:2">
      <c r="A2035" s="23">
        <v>106688</v>
      </c>
      <c r="B2035" s="1" t="s">
        <v>2102</v>
      </c>
    </row>
    <row r="2036" spans="1:2">
      <c r="A2036" s="23">
        <v>106689</v>
      </c>
      <c r="B2036" s="1" t="s">
        <v>2103</v>
      </c>
    </row>
    <row r="2037" spans="1:2">
      <c r="A2037" s="23">
        <v>106690</v>
      </c>
      <c r="B2037" s="1" t="s">
        <v>2104</v>
      </c>
    </row>
    <row r="2038" spans="1:2">
      <c r="A2038" s="23">
        <v>106691</v>
      </c>
      <c r="B2038" s="1" t="s">
        <v>2105</v>
      </c>
    </row>
    <row r="2039" spans="1:2">
      <c r="A2039" s="23">
        <v>106692</v>
      </c>
      <c r="B2039" s="1" t="s">
        <v>2106</v>
      </c>
    </row>
    <row r="2040" spans="1:2">
      <c r="A2040" s="23">
        <v>106693</v>
      </c>
      <c r="B2040" s="1" t="s">
        <v>2107</v>
      </c>
    </row>
    <row r="2041" spans="1:2">
      <c r="A2041" s="23">
        <v>106694</v>
      </c>
      <c r="B2041" s="1" t="s">
        <v>2108</v>
      </c>
    </row>
    <row r="2042" spans="1:2">
      <c r="A2042" s="23">
        <v>106695</v>
      </c>
      <c r="B2042" s="1" t="s">
        <v>2109</v>
      </c>
    </row>
    <row r="2043" spans="1:2">
      <c r="A2043" s="23">
        <v>106696</v>
      </c>
      <c r="B2043" s="1" t="s">
        <v>2110</v>
      </c>
    </row>
    <row r="2044" spans="1:2">
      <c r="A2044" s="23">
        <v>106697</v>
      </c>
      <c r="B2044" s="1" t="s">
        <v>2111</v>
      </c>
    </row>
    <row r="2045" spans="1:2">
      <c r="A2045" s="23">
        <v>106698</v>
      </c>
      <c r="B2045" s="1" t="s">
        <v>2112</v>
      </c>
    </row>
    <row r="2046" spans="1:2">
      <c r="A2046" s="23">
        <v>106699</v>
      </c>
      <c r="B2046" s="1" t="s">
        <v>2113</v>
      </c>
    </row>
    <row r="2047" spans="1:2">
      <c r="A2047" s="23">
        <v>106700</v>
      </c>
      <c r="B2047" s="1" t="s">
        <v>2114</v>
      </c>
    </row>
    <row r="2048" spans="1:2">
      <c r="A2048" s="23">
        <v>106701</v>
      </c>
      <c r="B2048" s="1" t="s">
        <v>2115</v>
      </c>
    </row>
    <row r="2049" spans="1:2">
      <c r="A2049" s="23">
        <v>106702</v>
      </c>
      <c r="B2049" s="1" t="s">
        <v>2116</v>
      </c>
    </row>
    <row r="2050" spans="1:2">
      <c r="A2050" s="23">
        <v>106703</v>
      </c>
      <c r="B2050" s="1" t="s">
        <v>2117</v>
      </c>
    </row>
    <row r="2051" spans="1:2">
      <c r="A2051" s="23">
        <v>106704</v>
      </c>
      <c r="B2051" s="1" t="s">
        <v>2118</v>
      </c>
    </row>
    <row r="2052" spans="1:2">
      <c r="A2052" s="23">
        <v>106705</v>
      </c>
      <c r="B2052" s="1" t="s">
        <v>2119</v>
      </c>
    </row>
    <row r="2053" spans="1:2">
      <c r="A2053" s="23">
        <v>106706</v>
      </c>
      <c r="B2053" s="1" t="s">
        <v>2120</v>
      </c>
    </row>
    <row r="2054" spans="1:2">
      <c r="A2054" s="23">
        <v>106707</v>
      </c>
      <c r="B2054" s="1" t="s">
        <v>2121</v>
      </c>
    </row>
    <row r="2055" spans="1:2">
      <c r="A2055" s="23">
        <v>106708</v>
      </c>
      <c r="B2055" s="1" t="s">
        <v>2122</v>
      </c>
    </row>
    <row r="2056" spans="1:2">
      <c r="A2056" s="23">
        <v>106709</v>
      </c>
      <c r="B2056" s="1" t="s">
        <v>2123</v>
      </c>
    </row>
    <row r="2057" spans="1:2">
      <c r="A2057" s="23">
        <v>106710</v>
      </c>
      <c r="B2057" s="1" t="s">
        <v>2124</v>
      </c>
    </row>
    <row r="2058" spans="1:2">
      <c r="A2058" s="23">
        <v>106711</v>
      </c>
      <c r="B2058" s="1" t="s">
        <v>2125</v>
      </c>
    </row>
    <row r="2059" spans="1:2">
      <c r="A2059" s="23">
        <v>106712</v>
      </c>
      <c r="B2059" s="1" t="s">
        <v>2126</v>
      </c>
    </row>
    <row r="2060" spans="1:2">
      <c r="A2060" s="23">
        <v>106713</v>
      </c>
      <c r="B2060" s="1" t="s">
        <v>2127</v>
      </c>
    </row>
    <row r="2061" spans="1:2">
      <c r="A2061" s="23">
        <v>106714</v>
      </c>
      <c r="B2061" s="1" t="s">
        <v>2128</v>
      </c>
    </row>
    <row r="2062" spans="1:2">
      <c r="A2062" s="23">
        <v>106715</v>
      </c>
      <c r="B2062" s="1" t="s">
        <v>2129</v>
      </c>
    </row>
    <row r="2063" spans="1:2">
      <c r="A2063" s="23">
        <v>106716</v>
      </c>
      <c r="B2063" s="1" t="s">
        <v>2130</v>
      </c>
    </row>
    <row r="2064" spans="1:2">
      <c r="A2064" s="23">
        <v>106717</v>
      </c>
      <c r="B2064" s="1" t="s">
        <v>2131</v>
      </c>
    </row>
    <row r="2065" spans="1:2">
      <c r="A2065" s="23">
        <v>106718</v>
      </c>
      <c r="B2065" s="1" t="s">
        <v>2132</v>
      </c>
    </row>
    <row r="2066" spans="1:2">
      <c r="A2066" s="23">
        <v>106719</v>
      </c>
      <c r="B2066" s="1" t="s">
        <v>2133</v>
      </c>
    </row>
    <row r="2067" spans="1:2">
      <c r="A2067" s="23">
        <v>106720</v>
      </c>
      <c r="B2067" s="1" t="s">
        <v>2134</v>
      </c>
    </row>
    <row r="2068" spans="1:2">
      <c r="A2068" s="23">
        <v>106721</v>
      </c>
      <c r="B2068" s="1" t="s">
        <v>2135</v>
      </c>
    </row>
    <row r="2069" spans="1:2">
      <c r="A2069" s="23">
        <v>106722</v>
      </c>
      <c r="B2069" s="1" t="s">
        <v>2136</v>
      </c>
    </row>
    <row r="2070" spans="1:2">
      <c r="A2070" s="23">
        <v>106723</v>
      </c>
      <c r="B2070" s="1" t="s">
        <v>2137</v>
      </c>
    </row>
    <row r="2071" spans="1:2">
      <c r="A2071" s="23">
        <v>106724</v>
      </c>
      <c r="B2071" s="1" t="s">
        <v>2138</v>
      </c>
    </row>
    <row r="2072" spans="1:2">
      <c r="A2072" s="23">
        <v>106725</v>
      </c>
      <c r="B2072" s="1" t="s">
        <v>2139</v>
      </c>
    </row>
    <row r="2073" spans="1:2">
      <c r="A2073" s="23">
        <v>106726</v>
      </c>
      <c r="B2073" s="1" t="s">
        <v>2140</v>
      </c>
    </row>
    <row r="2074" spans="1:2">
      <c r="A2074" s="23">
        <v>106727</v>
      </c>
      <c r="B2074" s="1" t="s">
        <v>2141</v>
      </c>
    </row>
    <row r="2075" spans="1:2">
      <c r="A2075" s="23">
        <v>106728</v>
      </c>
      <c r="B2075" s="1" t="s">
        <v>2142</v>
      </c>
    </row>
    <row r="2076" spans="1:2">
      <c r="A2076" s="23">
        <v>106729</v>
      </c>
      <c r="B2076" s="1" t="s">
        <v>2143</v>
      </c>
    </row>
    <row r="2077" spans="1:2">
      <c r="A2077" s="23">
        <v>106730</v>
      </c>
      <c r="B2077" s="1" t="s">
        <v>2144</v>
      </c>
    </row>
    <row r="2078" spans="1:2">
      <c r="A2078" s="23">
        <v>106731</v>
      </c>
      <c r="B2078" s="1" t="s">
        <v>2145</v>
      </c>
    </row>
    <row r="2079" spans="1:2">
      <c r="A2079" s="23">
        <v>106732</v>
      </c>
      <c r="B2079" s="1" t="s">
        <v>2146</v>
      </c>
    </row>
    <row r="2080" spans="1:2">
      <c r="A2080" s="23">
        <v>106733</v>
      </c>
      <c r="B2080" s="1" t="s">
        <v>2147</v>
      </c>
    </row>
    <row r="2081" spans="1:2">
      <c r="A2081" s="23">
        <v>106734</v>
      </c>
      <c r="B2081" s="1" t="s">
        <v>2148</v>
      </c>
    </row>
    <row r="2082" spans="1:2">
      <c r="A2082" s="23">
        <v>106735</v>
      </c>
      <c r="B2082" s="1" t="s">
        <v>2149</v>
      </c>
    </row>
    <row r="2083" spans="1:2">
      <c r="A2083" s="23">
        <v>106736</v>
      </c>
      <c r="B2083" s="1" t="s">
        <v>2150</v>
      </c>
    </row>
    <row r="2084" spans="1:2">
      <c r="A2084" s="23">
        <v>106737</v>
      </c>
      <c r="B2084" s="1" t="s">
        <v>2151</v>
      </c>
    </row>
    <row r="2085" spans="1:2">
      <c r="A2085" s="23">
        <v>106738</v>
      </c>
      <c r="B2085" s="1" t="s">
        <v>2152</v>
      </c>
    </row>
    <row r="2086" spans="1:2">
      <c r="A2086" s="23">
        <v>106739</v>
      </c>
      <c r="B2086" s="1" t="s">
        <v>2153</v>
      </c>
    </row>
    <row r="2087" spans="1:2">
      <c r="A2087" s="23">
        <v>106740</v>
      </c>
      <c r="B2087" s="1" t="s">
        <v>2154</v>
      </c>
    </row>
    <row r="2088" spans="1:2">
      <c r="A2088" s="23">
        <v>106741</v>
      </c>
      <c r="B2088" s="1" t="s">
        <v>2155</v>
      </c>
    </row>
    <row r="2089" spans="1:2">
      <c r="A2089" s="23">
        <v>106742</v>
      </c>
      <c r="B2089" s="1" t="s">
        <v>2156</v>
      </c>
    </row>
    <row r="2090" spans="1:2">
      <c r="A2090" s="23">
        <v>106743</v>
      </c>
      <c r="B2090" s="1" t="s">
        <v>2157</v>
      </c>
    </row>
    <row r="2091" spans="1:2">
      <c r="A2091" s="23">
        <v>106744</v>
      </c>
      <c r="B2091" s="1" t="s">
        <v>2158</v>
      </c>
    </row>
    <row r="2092" spans="1:2">
      <c r="A2092" s="23">
        <v>106745</v>
      </c>
      <c r="B2092" s="1" t="s">
        <v>2159</v>
      </c>
    </row>
    <row r="2093" spans="1:2">
      <c r="A2093" s="23">
        <v>106746</v>
      </c>
      <c r="B2093" s="1" t="s">
        <v>2160</v>
      </c>
    </row>
    <row r="2094" spans="1:2">
      <c r="A2094" s="23">
        <v>106747</v>
      </c>
      <c r="B2094" s="1" t="s">
        <v>2161</v>
      </c>
    </row>
    <row r="2095" spans="1:2">
      <c r="A2095" s="23">
        <v>106748</v>
      </c>
      <c r="B2095" s="1" t="s">
        <v>2162</v>
      </c>
    </row>
    <row r="2096" spans="1:2">
      <c r="A2096" s="23">
        <v>106749</v>
      </c>
      <c r="B2096" s="1" t="s">
        <v>2163</v>
      </c>
    </row>
    <row r="2097" spans="1:2">
      <c r="A2097" s="23">
        <v>106750</v>
      </c>
      <c r="B2097" s="1" t="s">
        <v>2164</v>
      </c>
    </row>
    <row r="2098" spans="1:2">
      <c r="A2098" s="23">
        <v>106751</v>
      </c>
      <c r="B2098" s="1" t="s">
        <v>2165</v>
      </c>
    </row>
    <row r="2099" spans="1:2">
      <c r="A2099" s="23">
        <v>106752</v>
      </c>
      <c r="B2099" s="1" t="s">
        <v>2166</v>
      </c>
    </row>
    <row r="2100" spans="1:2">
      <c r="A2100" s="23">
        <v>106753</v>
      </c>
      <c r="B2100" s="1" t="s">
        <v>2167</v>
      </c>
    </row>
    <row r="2101" spans="1:2">
      <c r="A2101" s="23">
        <v>106754</v>
      </c>
      <c r="B2101" s="1" t="s">
        <v>2168</v>
      </c>
    </row>
    <row r="2102" spans="1:2">
      <c r="A2102" s="23">
        <v>106755</v>
      </c>
      <c r="B2102" s="1" t="s">
        <v>2169</v>
      </c>
    </row>
    <row r="2103" spans="1:2">
      <c r="A2103" s="23">
        <v>106756</v>
      </c>
      <c r="B2103" s="1" t="s">
        <v>2170</v>
      </c>
    </row>
    <row r="2104" spans="1:2">
      <c r="A2104" s="23">
        <v>106757</v>
      </c>
      <c r="B2104" s="1" t="s">
        <v>2171</v>
      </c>
    </row>
    <row r="2105" spans="1:2">
      <c r="A2105" s="23">
        <v>106758</v>
      </c>
      <c r="B2105" s="1" t="s">
        <v>2172</v>
      </c>
    </row>
    <row r="2106" spans="1:2">
      <c r="A2106" s="23">
        <v>106759</v>
      </c>
      <c r="B2106" s="1" t="s">
        <v>2173</v>
      </c>
    </row>
    <row r="2107" spans="1:2">
      <c r="A2107" s="23">
        <v>106760</v>
      </c>
      <c r="B2107" s="1" t="s">
        <v>2174</v>
      </c>
    </row>
    <row r="2108" spans="1:2">
      <c r="A2108" s="23">
        <v>106761</v>
      </c>
      <c r="B2108" s="1" t="s">
        <v>2175</v>
      </c>
    </row>
    <row r="2109" spans="1:2">
      <c r="A2109" s="23">
        <v>106762</v>
      </c>
      <c r="B2109" s="1" t="s">
        <v>2176</v>
      </c>
    </row>
    <row r="2110" spans="1:2">
      <c r="A2110" s="23">
        <v>106763</v>
      </c>
      <c r="B2110" s="1" t="s">
        <v>2177</v>
      </c>
    </row>
    <row r="2111" spans="1:2">
      <c r="A2111" s="23">
        <v>106764</v>
      </c>
      <c r="B2111" s="1" t="s">
        <v>2178</v>
      </c>
    </row>
    <row r="2112" spans="1:2">
      <c r="A2112" s="23">
        <v>106765</v>
      </c>
      <c r="B2112" s="1" t="s">
        <v>2179</v>
      </c>
    </row>
    <row r="2113" spans="1:2">
      <c r="A2113" s="23">
        <v>106766</v>
      </c>
      <c r="B2113" s="1" t="s">
        <v>2180</v>
      </c>
    </row>
    <row r="2114" spans="1:2">
      <c r="A2114" s="23">
        <v>106767</v>
      </c>
      <c r="B2114" s="1" t="s">
        <v>2181</v>
      </c>
    </row>
    <row r="2115" spans="1:2">
      <c r="A2115" s="23">
        <v>106768</v>
      </c>
      <c r="B2115" s="1" t="s">
        <v>2182</v>
      </c>
    </row>
    <row r="2116" spans="1:2">
      <c r="A2116" s="23">
        <v>106769</v>
      </c>
      <c r="B2116" s="1" t="s">
        <v>2183</v>
      </c>
    </row>
    <row r="2117" spans="1:2">
      <c r="A2117" s="23">
        <v>106770</v>
      </c>
      <c r="B2117" s="1" t="s">
        <v>2184</v>
      </c>
    </row>
    <row r="2118" spans="1:2">
      <c r="A2118" s="23">
        <v>106771</v>
      </c>
      <c r="B2118" s="1" t="s">
        <v>2185</v>
      </c>
    </row>
    <row r="2119" spans="1:2">
      <c r="A2119" s="23">
        <v>106772</v>
      </c>
      <c r="B2119" s="1" t="s">
        <v>2186</v>
      </c>
    </row>
    <row r="2120" spans="1:2">
      <c r="A2120" s="23">
        <v>106773</v>
      </c>
      <c r="B2120" s="1" t="s">
        <v>2187</v>
      </c>
    </row>
    <row r="2121" spans="1:2">
      <c r="A2121" s="23">
        <v>106774</v>
      </c>
      <c r="B2121" s="1" t="s">
        <v>2188</v>
      </c>
    </row>
    <row r="2122" spans="1:2">
      <c r="A2122" s="23">
        <v>106775</v>
      </c>
      <c r="B2122" s="1" t="s">
        <v>2189</v>
      </c>
    </row>
    <row r="2123" spans="1:2">
      <c r="A2123" s="23">
        <v>106776</v>
      </c>
      <c r="B2123" s="1" t="s">
        <v>2190</v>
      </c>
    </row>
    <row r="2124" spans="1:2">
      <c r="A2124" s="23">
        <v>106777</v>
      </c>
      <c r="B2124" s="1" t="s">
        <v>2191</v>
      </c>
    </row>
    <row r="2125" spans="1:2">
      <c r="A2125" s="23">
        <v>106778</v>
      </c>
      <c r="B2125" s="1" t="s">
        <v>2192</v>
      </c>
    </row>
    <row r="2126" spans="1:2">
      <c r="A2126" s="23">
        <v>106779</v>
      </c>
      <c r="B2126" s="1" t="s">
        <v>2193</v>
      </c>
    </row>
    <row r="2127" spans="1:2">
      <c r="A2127" s="23">
        <v>106780</v>
      </c>
      <c r="B2127" s="1" t="s">
        <v>2194</v>
      </c>
    </row>
    <row r="2128" spans="1:2">
      <c r="A2128" s="23">
        <v>106781</v>
      </c>
      <c r="B2128" s="1" t="s">
        <v>2195</v>
      </c>
    </row>
    <row r="2129" spans="1:2">
      <c r="A2129" s="23">
        <v>106782</v>
      </c>
      <c r="B2129" s="1" t="s">
        <v>2196</v>
      </c>
    </row>
    <row r="2130" spans="1:2">
      <c r="A2130" s="23">
        <v>106783</v>
      </c>
      <c r="B2130" s="1" t="s">
        <v>2197</v>
      </c>
    </row>
    <row r="2131" spans="1:2">
      <c r="A2131" s="23">
        <v>106784</v>
      </c>
      <c r="B2131" s="1" t="s">
        <v>2198</v>
      </c>
    </row>
    <row r="2132" spans="1:2">
      <c r="A2132" s="23">
        <v>106785</v>
      </c>
      <c r="B2132" s="1" t="s">
        <v>2199</v>
      </c>
    </row>
    <row r="2133" spans="1:2">
      <c r="A2133" s="23">
        <v>106786</v>
      </c>
      <c r="B2133" s="1" t="s">
        <v>2200</v>
      </c>
    </row>
    <row r="2134" spans="1:2">
      <c r="A2134" s="23">
        <v>106787</v>
      </c>
      <c r="B2134" s="1" t="s">
        <v>2201</v>
      </c>
    </row>
    <row r="2135" spans="1:2">
      <c r="A2135" s="23">
        <v>106788</v>
      </c>
      <c r="B2135" s="1" t="s">
        <v>2202</v>
      </c>
    </row>
    <row r="2136" spans="1:2">
      <c r="A2136" s="23">
        <v>106789</v>
      </c>
      <c r="B2136" s="1" t="s">
        <v>2203</v>
      </c>
    </row>
    <row r="2137" spans="1:2">
      <c r="A2137" s="23">
        <v>106790</v>
      </c>
      <c r="B2137" s="1" t="s">
        <v>2204</v>
      </c>
    </row>
    <row r="2138" spans="1:2">
      <c r="A2138" s="23">
        <v>106791</v>
      </c>
      <c r="B2138" s="1" t="s">
        <v>2205</v>
      </c>
    </row>
    <row r="2139" spans="1:2">
      <c r="A2139" s="23">
        <v>106792</v>
      </c>
      <c r="B2139" s="1" t="s">
        <v>2206</v>
      </c>
    </row>
    <row r="2140" spans="1:2">
      <c r="A2140" s="23">
        <v>106793</v>
      </c>
      <c r="B2140" s="1" t="s">
        <v>2207</v>
      </c>
    </row>
    <row r="2141" spans="1:2">
      <c r="A2141" s="23">
        <v>106794</v>
      </c>
      <c r="B2141" s="1" t="s">
        <v>2208</v>
      </c>
    </row>
    <row r="2142" spans="1:2">
      <c r="A2142" s="23">
        <v>106795</v>
      </c>
      <c r="B2142" s="1" t="s">
        <v>2209</v>
      </c>
    </row>
    <row r="2143" spans="1:2">
      <c r="A2143" s="23">
        <v>106796</v>
      </c>
      <c r="B2143" s="1" t="s">
        <v>2210</v>
      </c>
    </row>
    <row r="2144" spans="1:2">
      <c r="A2144" s="23">
        <v>106797</v>
      </c>
      <c r="B2144" s="1" t="s">
        <v>2211</v>
      </c>
    </row>
    <row r="2145" spans="1:2">
      <c r="A2145" s="23">
        <v>106798</v>
      </c>
      <c r="B2145" s="1" t="s">
        <v>2212</v>
      </c>
    </row>
    <row r="2146" spans="1:2">
      <c r="A2146" s="23">
        <v>106799</v>
      </c>
      <c r="B2146" s="1" t="s">
        <v>2213</v>
      </c>
    </row>
    <row r="2147" spans="1:2">
      <c r="A2147" s="23">
        <v>106800</v>
      </c>
      <c r="B2147" s="1" t="s">
        <v>2214</v>
      </c>
    </row>
    <row r="2148" spans="1:2">
      <c r="A2148" s="23">
        <v>106801</v>
      </c>
      <c r="B2148" s="1" t="s">
        <v>2215</v>
      </c>
    </row>
    <row r="2149" spans="1:2">
      <c r="A2149" s="23">
        <v>106802</v>
      </c>
      <c r="B2149" s="1" t="s">
        <v>2216</v>
      </c>
    </row>
    <row r="2150" spans="1:2">
      <c r="A2150" s="23">
        <v>106803</v>
      </c>
      <c r="B2150" s="1" t="s">
        <v>2217</v>
      </c>
    </row>
    <row r="2151" spans="1:2">
      <c r="A2151" s="23">
        <v>106804</v>
      </c>
      <c r="B2151" s="1" t="s">
        <v>2218</v>
      </c>
    </row>
    <row r="2152" spans="1:2">
      <c r="A2152" s="23">
        <v>106805</v>
      </c>
      <c r="B2152" s="1" t="s">
        <v>2219</v>
      </c>
    </row>
    <row r="2153" spans="1:2">
      <c r="A2153" s="23">
        <v>106806</v>
      </c>
      <c r="B2153" s="1" t="s">
        <v>2220</v>
      </c>
    </row>
    <row r="2154" spans="1:2">
      <c r="A2154" s="23">
        <v>106807</v>
      </c>
      <c r="B2154" s="1" t="s">
        <v>2221</v>
      </c>
    </row>
    <row r="2155" spans="1:2">
      <c r="A2155" s="23">
        <v>106808</v>
      </c>
      <c r="B2155" s="1" t="s">
        <v>2222</v>
      </c>
    </row>
    <row r="2156" spans="1:2">
      <c r="A2156" s="23">
        <v>106809</v>
      </c>
      <c r="B2156" s="1" t="s">
        <v>2223</v>
      </c>
    </row>
    <row r="2157" spans="1:2">
      <c r="A2157" s="23">
        <v>106810</v>
      </c>
      <c r="B2157" s="1" t="s">
        <v>2224</v>
      </c>
    </row>
    <row r="2158" spans="1:2">
      <c r="A2158" s="23">
        <v>106811</v>
      </c>
      <c r="B2158" s="1" t="s">
        <v>2225</v>
      </c>
    </row>
    <row r="2159" spans="1:2">
      <c r="A2159" s="23">
        <v>106812</v>
      </c>
      <c r="B2159" s="1" t="s">
        <v>2226</v>
      </c>
    </row>
    <row r="2160" spans="1:2">
      <c r="A2160" s="23">
        <v>106813</v>
      </c>
      <c r="B2160" s="1" t="s">
        <v>2227</v>
      </c>
    </row>
    <row r="2161" spans="1:2">
      <c r="A2161" s="23">
        <v>106814</v>
      </c>
      <c r="B2161" s="1" t="s">
        <v>2228</v>
      </c>
    </row>
    <row r="2162" spans="1:2">
      <c r="A2162" s="23">
        <v>106815</v>
      </c>
      <c r="B2162" s="1" t="s">
        <v>2229</v>
      </c>
    </row>
    <row r="2163" spans="1:2">
      <c r="A2163" s="23">
        <v>106816</v>
      </c>
      <c r="B2163" s="1" t="s">
        <v>2230</v>
      </c>
    </row>
    <row r="2164" spans="1:2">
      <c r="A2164" s="23">
        <v>106817</v>
      </c>
      <c r="B2164" s="1" t="s">
        <v>2231</v>
      </c>
    </row>
    <row r="2165" spans="1:2">
      <c r="A2165" s="23">
        <v>106818</v>
      </c>
      <c r="B2165" s="1" t="s">
        <v>2232</v>
      </c>
    </row>
    <row r="2166" spans="1:2">
      <c r="A2166" s="23">
        <v>106819</v>
      </c>
      <c r="B2166" s="1" t="s">
        <v>2233</v>
      </c>
    </row>
    <row r="2167" spans="1:2">
      <c r="A2167" s="23">
        <v>106820</v>
      </c>
      <c r="B2167" s="1" t="s">
        <v>2234</v>
      </c>
    </row>
    <row r="2168" spans="1:2">
      <c r="A2168" s="23">
        <v>106821</v>
      </c>
      <c r="B2168" s="1" t="s">
        <v>2235</v>
      </c>
    </row>
    <row r="2169" spans="1:2">
      <c r="A2169" s="23">
        <v>106822</v>
      </c>
      <c r="B2169" s="1" t="s">
        <v>2236</v>
      </c>
    </row>
    <row r="2170" spans="1:2">
      <c r="A2170" s="23">
        <v>106823</v>
      </c>
      <c r="B2170" s="1" t="s">
        <v>2237</v>
      </c>
    </row>
    <row r="2171" spans="1:2">
      <c r="A2171" s="23">
        <v>106824</v>
      </c>
      <c r="B2171" s="1" t="s">
        <v>2238</v>
      </c>
    </row>
    <row r="2172" spans="1:2">
      <c r="A2172" s="23">
        <v>106825</v>
      </c>
      <c r="B2172" s="1" t="s">
        <v>2239</v>
      </c>
    </row>
    <row r="2173" spans="1:2">
      <c r="A2173" s="23">
        <v>106826</v>
      </c>
      <c r="B2173" s="1" t="s">
        <v>2240</v>
      </c>
    </row>
    <row r="2174" spans="1:2">
      <c r="A2174" s="23">
        <v>106827</v>
      </c>
      <c r="B2174" s="1" t="s">
        <v>2241</v>
      </c>
    </row>
    <row r="2175" spans="1:2">
      <c r="A2175" s="23">
        <v>106828</v>
      </c>
      <c r="B2175" s="1" t="s">
        <v>2242</v>
      </c>
    </row>
    <row r="2176" spans="1:2">
      <c r="A2176" s="23">
        <v>106829</v>
      </c>
      <c r="B2176" s="1" t="s">
        <v>2243</v>
      </c>
    </row>
    <row r="2177" spans="1:2">
      <c r="A2177" s="23">
        <v>106830</v>
      </c>
      <c r="B2177" s="1" t="s">
        <v>2244</v>
      </c>
    </row>
    <row r="2178" spans="1:2">
      <c r="A2178" s="23">
        <v>106831</v>
      </c>
      <c r="B2178" s="1" t="s">
        <v>2245</v>
      </c>
    </row>
    <row r="2179" spans="1:2">
      <c r="A2179" s="23">
        <v>106832</v>
      </c>
      <c r="B2179" s="1" t="s">
        <v>2246</v>
      </c>
    </row>
    <row r="2180" spans="1:2">
      <c r="A2180" s="23">
        <v>106833</v>
      </c>
      <c r="B2180" s="1" t="s">
        <v>2247</v>
      </c>
    </row>
    <row r="2181" spans="1:2">
      <c r="A2181" s="23">
        <v>106834</v>
      </c>
      <c r="B2181" s="1" t="s">
        <v>2248</v>
      </c>
    </row>
    <row r="2182" spans="1:2">
      <c r="A2182" s="23">
        <v>106835</v>
      </c>
      <c r="B2182" s="1" t="s">
        <v>2249</v>
      </c>
    </row>
    <row r="2183" spans="1:2">
      <c r="A2183" s="23">
        <v>106836</v>
      </c>
      <c r="B2183" s="1" t="s">
        <v>2250</v>
      </c>
    </row>
    <row r="2184" spans="1:2">
      <c r="A2184" s="23">
        <v>106837</v>
      </c>
      <c r="B2184" s="1" t="s">
        <v>2251</v>
      </c>
    </row>
    <row r="2185" spans="1:2">
      <c r="A2185" s="23">
        <v>106838</v>
      </c>
      <c r="B2185" s="1" t="s">
        <v>2252</v>
      </c>
    </row>
    <row r="2186" spans="1:2">
      <c r="A2186" s="23">
        <v>106839</v>
      </c>
      <c r="B2186" s="1" t="s">
        <v>2253</v>
      </c>
    </row>
    <row r="2187" spans="1:2">
      <c r="A2187" s="23">
        <v>106840</v>
      </c>
      <c r="B2187" s="1" t="s">
        <v>2254</v>
      </c>
    </row>
    <row r="2188" spans="1:2">
      <c r="A2188" s="23">
        <v>106841</v>
      </c>
      <c r="B2188" s="1" t="s">
        <v>2255</v>
      </c>
    </row>
    <row r="2189" spans="1:2">
      <c r="A2189" s="23">
        <v>106842</v>
      </c>
      <c r="B2189" s="1" t="s">
        <v>2256</v>
      </c>
    </row>
    <row r="2190" spans="1:2">
      <c r="A2190" s="23">
        <v>106843</v>
      </c>
      <c r="B2190" s="1" t="s">
        <v>2257</v>
      </c>
    </row>
    <row r="2191" spans="1:2">
      <c r="A2191" s="23">
        <v>106844</v>
      </c>
      <c r="B2191" s="1" t="s">
        <v>2258</v>
      </c>
    </row>
    <row r="2192" spans="1:2">
      <c r="A2192" s="23">
        <v>106845</v>
      </c>
      <c r="B2192" s="1" t="s">
        <v>2259</v>
      </c>
    </row>
    <row r="2193" spans="1:2">
      <c r="A2193" s="23">
        <v>106846</v>
      </c>
      <c r="B2193" s="1" t="s">
        <v>2260</v>
      </c>
    </row>
    <row r="2194" spans="1:2">
      <c r="A2194" s="23">
        <v>106847</v>
      </c>
      <c r="B2194" s="1" t="s">
        <v>2261</v>
      </c>
    </row>
    <row r="2195" spans="1:2">
      <c r="A2195" s="23">
        <v>106848</v>
      </c>
      <c r="B2195" s="1" t="s">
        <v>2262</v>
      </c>
    </row>
    <row r="2196" spans="1:2">
      <c r="A2196" s="23">
        <v>106849</v>
      </c>
      <c r="B2196" s="1" t="s">
        <v>2263</v>
      </c>
    </row>
    <row r="2197" spans="1:2">
      <c r="A2197" s="23">
        <v>106850</v>
      </c>
      <c r="B2197" s="1" t="s">
        <v>2264</v>
      </c>
    </row>
    <row r="2198" spans="1:2">
      <c r="A2198" s="23">
        <v>106851</v>
      </c>
      <c r="B2198" s="1" t="s">
        <v>2265</v>
      </c>
    </row>
    <row r="2199" spans="1:2">
      <c r="A2199" s="23">
        <v>106852</v>
      </c>
      <c r="B2199" s="1" t="s">
        <v>2266</v>
      </c>
    </row>
    <row r="2200" spans="1:2">
      <c r="A2200" s="23">
        <v>106853</v>
      </c>
      <c r="B2200" s="1" t="s">
        <v>2267</v>
      </c>
    </row>
    <row r="2201" spans="1:2">
      <c r="A2201" s="23">
        <v>106854</v>
      </c>
      <c r="B2201" s="1" t="s">
        <v>2268</v>
      </c>
    </row>
    <row r="2202" spans="1:2">
      <c r="A2202" s="23">
        <v>106855</v>
      </c>
      <c r="B2202" s="1" t="s">
        <v>2269</v>
      </c>
    </row>
    <row r="2203" spans="1:2">
      <c r="A2203" s="23">
        <v>106856</v>
      </c>
      <c r="B2203" s="1" t="s">
        <v>2270</v>
      </c>
    </row>
    <row r="2204" spans="1:2">
      <c r="A2204" s="23">
        <v>106857</v>
      </c>
      <c r="B2204" s="1" t="s">
        <v>2271</v>
      </c>
    </row>
    <row r="2205" spans="1:2">
      <c r="A2205" s="23">
        <v>106858</v>
      </c>
      <c r="B2205" s="1" t="s">
        <v>2272</v>
      </c>
    </row>
    <row r="2206" spans="1:2">
      <c r="A2206" s="23">
        <v>106859</v>
      </c>
      <c r="B2206" s="1" t="s">
        <v>2273</v>
      </c>
    </row>
    <row r="2207" spans="1:2">
      <c r="A2207" s="23">
        <v>106860</v>
      </c>
      <c r="B2207" s="1" t="s">
        <v>2274</v>
      </c>
    </row>
    <row r="2208" spans="1:2">
      <c r="A2208" s="23">
        <v>106861</v>
      </c>
      <c r="B2208" s="1" t="s">
        <v>2275</v>
      </c>
    </row>
    <row r="2209" spans="1:2">
      <c r="A2209" s="23">
        <v>106862</v>
      </c>
      <c r="B2209" s="1" t="s">
        <v>2276</v>
      </c>
    </row>
    <row r="2210" spans="1:2">
      <c r="A2210" s="23">
        <v>106863</v>
      </c>
      <c r="B2210" s="1" t="s">
        <v>2277</v>
      </c>
    </row>
    <row r="2211" spans="1:2">
      <c r="A2211" s="23">
        <v>106864</v>
      </c>
      <c r="B2211" s="1" t="s">
        <v>2278</v>
      </c>
    </row>
    <row r="2212" spans="1:2">
      <c r="A2212" s="23">
        <v>106865</v>
      </c>
      <c r="B2212" s="1" t="s">
        <v>2279</v>
      </c>
    </row>
    <row r="2213" spans="1:2">
      <c r="A2213" s="23">
        <v>106866</v>
      </c>
      <c r="B2213" s="1" t="s">
        <v>2280</v>
      </c>
    </row>
    <row r="2214" spans="1:2">
      <c r="A2214" s="23">
        <v>106867</v>
      </c>
      <c r="B2214" s="1" t="s">
        <v>2281</v>
      </c>
    </row>
    <row r="2215" spans="1:2">
      <c r="A2215" s="23">
        <v>106868</v>
      </c>
      <c r="B2215" s="1" t="s">
        <v>2282</v>
      </c>
    </row>
    <row r="2216" spans="1:2">
      <c r="A2216" s="23">
        <v>106869</v>
      </c>
      <c r="B2216" s="1" t="s">
        <v>2283</v>
      </c>
    </row>
    <row r="2217" spans="1:2">
      <c r="A2217" s="23">
        <v>106870</v>
      </c>
      <c r="B2217" s="1" t="s">
        <v>2284</v>
      </c>
    </row>
    <row r="2218" spans="1:2">
      <c r="A2218" s="23">
        <v>106871</v>
      </c>
      <c r="B2218" s="1" t="s">
        <v>2285</v>
      </c>
    </row>
    <row r="2219" spans="1:2">
      <c r="A2219" s="23">
        <v>106872</v>
      </c>
      <c r="B2219" s="1" t="s">
        <v>2286</v>
      </c>
    </row>
    <row r="2220" spans="1:2">
      <c r="A2220" s="23">
        <v>106873</v>
      </c>
      <c r="B2220" s="1" t="s">
        <v>2287</v>
      </c>
    </row>
    <row r="2221" spans="1:2">
      <c r="A2221" s="23">
        <v>106874</v>
      </c>
      <c r="B2221" s="1" t="s">
        <v>2288</v>
      </c>
    </row>
    <row r="2222" spans="1:2">
      <c r="A2222" s="23">
        <v>106875</v>
      </c>
      <c r="B2222" s="1" t="s">
        <v>2289</v>
      </c>
    </row>
    <row r="2223" spans="1:2">
      <c r="A2223" s="23">
        <v>106876</v>
      </c>
      <c r="B2223" s="1" t="s">
        <v>2290</v>
      </c>
    </row>
    <row r="2224" spans="1:2">
      <c r="A2224" s="23">
        <v>106877</v>
      </c>
      <c r="B2224" s="1" t="s">
        <v>2291</v>
      </c>
    </row>
    <row r="2225" spans="1:2">
      <c r="A2225" s="23">
        <v>106878</v>
      </c>
      <c r="B2225" s="1" t="s">
        <v>2292</v>
      </c>
    </row>
    <row r="2226" spans="1:2">
      <c r="A2226" s="23">
        <v>106879</v>
      </c>
      <c r="B2226" s="1" t="s">
        <v>2293</v>
      </c>
    </row>
    <row r="2227" spans="1:2">
      <c r="A2227" s="23">
        <v>106880</v>
      </c>
      <c r="B2227" s="1" t="s">
        <v>2294</v>
      </c>
    </row>
    <row r="2228" spans="1:2">
      <c r="A2228" s="23">
        <v>106881</v>
      </c>
      <c r="B2228" s="1" t="s">
        <v>2295</v>
      </c>
    </row>
    <row r="2229" spans="1:2">
      <c r="A2229" s="23">
        <v>106882</v>
      </c>
      <c r="B2229" s="1" t="s">
        <v>2296</v>
      </c>
    </row>
    <row r="2230" spans="1:2">
      <c r="A2230" s="23">
        <v>106883</v>
      </c>
      <c r="B2230" s="1" t="s">
        <v>2297</v>
      </c>
    </row>
    <row r="2231" spans="1:2">
      <c r="A2231" s="23">
        <v>106884</v>
      </c>
      <c r="B2231" s="1" t="s">
        <v>2298</v>
      </c>
    </row>
    <row r="2232" spans="1:2">
      <c r="A2232" s="23">
        <v>106885</v>
      </c>
      <c r="B2232" s="1" t="s">
        <v>2299</v>
      </c>
    </row>
    <row r="2233" spans="1:2">
      <c r="A2233" s="23">
        <v>106886</v>
      </c>
      <c r="B2233" s="1" t="s">
        <v>2300</v>
      </c>
    </row>
    <row r="2234" spans="1:2">
      <c r="A2234" s="23">
        <v>106887</v>
      </c>
      <c r="B2234" s="1" t="s">
        <v>2301</v>
      </c>
    </row>
    <row r="2235" spans="1:2">
      <c r="A2235" s="23">
        <v>106888</v>
      </c>
      <c r="B2235" s="1" t="s">
        <v>2302</v>
      </c>
    </row>
    <row r="2236" spans="1:2">
      <c r="A2236" s="23">
        <v>106889</v>
      </c>
      <c r="B2236" s="1" t="s">
        <v>2303</v>
      </c>
    </row>
    <row r="2237" spans="1:2">
      <c r="A2237" s="23">
        <v>106890</v>
      </c>
      <c r="B2237" s="1" t="s">
        <v>2304</v>
      </c>
    </row>
    <row r="2238" spans="1:2">
      <c r="A2238" s="23">
        <v>106891</v>
      </c>
      <c r="B2238" s="1" t="s">
        <v>2305</v>
      </c>
    </row>
    <row r="2239" spans="1:2">
      <c r="A2239" s="23">
        <v>106892</v>
      </c>
      <c r="B2239" s="1" t="s">
        <v>2306</v>
      </c>
    </row>
    <row r="2240" spans="1:2">
      <c r="A2240" s="23">
        <v>106893</v>
      </c>
      <c r="B2240" s="1" t="s">
        <v>2307</v>
      </c>
    </row>
    <row r="2241" spans="1:2">
      <c r="A2241" s="23">
        <v>106894</v>
      </c>
      <c r="B2241" s="1" t="s">
        <v>2308</v>
      </c>
    </row>
    <row r="2242" spans="1:2">
      <c r="A2242" s="23">
        <v>106895</v>
      </c>
      <c r="B2242" s="1" t="s">
        <v>2309</v>
      </c>
    </row>
    <row r="2243" spans="1:2">
      <c r="A2243" s="23">
        <v>106896</v>
      </c>
      <c r="B2243" s="1" t="s">
        <v>2310</v>
      </c>
    </row>
    <row r="2244" spans="1:2">
      <c r="A2244" s="23">
        <v>106897</v>
      </c>
      <c r="B2244" s="1" t="s">
        <v>2311</v>
      </c>
    </row>
    <row r="2245" spans="1:2">
      <c r="A2245" s="23">
        <v>106898</v>
      </c>
      <c r="B2245" s="1" t="s">
        <v>2312</v>
      </c>
    </row>
    <row r="2246" spans="1:2">
      <c r="A2246" s="23">
        <v>106899</v>
      </c>
      <c r="B2246" s="1" t="s">
        <v>2313</v>
      </c>
    </row>
    <row r="2247" spans="1:2">
      <c r="A2247" s="23">
        <v>106900</v>
      </c>
      <c r="B2247" s="1" t="s">
        <v>2314</v>
      </c>
    </row>
    <row r="2248" spans="1:2">
      <c r="A2248" s="23">
        <v>106901</v>
      </c>
      <c r="B2248" s="1" t="s">
        <v>2315</v>
      </c>
    </row>
    <row r="2249" spans="1:2">
      <c r="A2249" s="23">
        <v>106902</v>
      </c>
      <c r="B2249" s="1" t="s">
        <v>2316</v>
      </c>
    </row>
    <row r="2250" spans="1:2">
      <c r="A2250" s="23">
        <v>106903</v>
      </c>
      <c r="B2250" s="1" t="s">
        <v>2317</v>
      </c>
    </row>
    <row r="2251" spans="1:2">
      <c r="A2251" s="23">
        <v>106904</v>
      </c>
      <c r="B2251" s="1" t="s">
        <v>2318</v>
      </c>
    </row>
    <row r="2252" spans="1:2">
      <c r="A2252" s="23">
        <v>106905</v>
      </c>
      <c r="B2252" s="1" t="s">
        <v>2319</v>
      </c>
    </row>
    <row r="2253" spans="1:2">
      <c r="A2253" s="23">
        <v>106906</v>
      </c>
      <c r="B2253" s="1" t="s">
        <v>2320</v>
      </c>
    </row>
    <row r="2254" spans="1:2">
      <c r="A2254" s="23">
        <v>106907</v>
      </c>
      <c r="B2254" s="1" t="s">
        <v>2321</v>
      </c>
    </row>
    <row r="2255" spans="1:2">
      <c r="A2255" s="23">
        <v>106908</v>
      </c>
      <c r="B2255" s="1" t="s">
        <v>2322</v>
      </c>
    </row>
    <row r="2256" spans="1:2">
      <c r="A2256" s="23">
        <v>106909</v>
      </c>
      <c r="B2256" s="1" t="s">
        <v>2323</v>
      </c>
    </row>
    <row r="2257" spans="1:2">
      <c r="A2257" s="23">
        <v>106910</v>
      </c>
      <c r="B2257" s="1" t="s">
        <v>2324</v>
      </c>
    </row>
    <row r="2258" spans="1:2">
      <c r="A2258" s="23">
        <v>106911</v>
      </c>
      <c r="B2258" s="1" t="s">
        <v>2325</v>
      </c>
    </row>
    <row r="2259" spans="1:2">
      <c r="A2259" s="23">
        <v>106912</v>
      </c>
      <c r="B2259" s="1" t="s">
        <v>2326</v>
      </c>
    </row>
    <row r="2260" spans="1:2">
      <c r="A2260" s="23">
        <v>106913</v>
      </c>
      <c r="B2260" s="1" t="s">
        <v>2327</v>
      </c>
    </row>
    <row r="2261" spans="1:2">
      <c r="A2261" s="23">
        <v>106914</v>
      </c>
      <c r="B2261" s="1" t="s">
        <v>2328</v>
      </c>
    </row>
    <row r="2262" spans="1:2">
      <c r="A2262" s="23">
        <v>106915</v>
      </c>
      <c r="B2262" s="1" t="s">
        <v>2329</v>
      </c>
    </row>
    <row r="2263" spans="1:2">
      <c r="A2263" s="23">
        <v>106916</v>
      </c>
      <c r="B2263" s="1" t="s">
        <v>2330</v>
      </c>
    </row>
    <row r="2264" spans="1:2">
      <c r="A2264" s="23">
        <v>106917</v>
      </c>
      <c r="B2264" s="1" t="s">
        <v>2331</v>
      </c>
    </row>
    <row r="2265" spans="1:2">
      <c r="A2265" s="23">
        <v>106918</v>
      </c>
      <c r="B2265" s="1" t="s">
        <v>2332</v>
      </c>
    </row>
    <row r="2266" spans="1:2">
      <c r="A2266" s="23">
        <v>106919</v>
      </c>
      <c r="B2266" s="1" t="s">
        <v>2333</v>
      </c>
    </row>
    <row r="2267" spans="1:2">
      <c r="A2267" s="23">
        <v>106920</v>
      </c>
      <c r="B2267" s="1" t="s">
        <v>2334</v>
      </c>
    </row>
    <row r="2268" spans="1:2">
      <c r="A2268" s="23">
        <v>106921</v>
      </c>
      <c r="B2268" s="1" t="s">
        <v>2335</v>
      </c>
    </row>
    <row r="2269" spans="1:2">
      <c r="A2269" s="23">
        <v>106922</v>
      </c>
      <c r="B2269" s="1" t="s">
        <v>2336</v>
      </c>
    </row>
    <row r="2270" spans="1:2">
      <c r="A2270" s="23">
        <v>106923</v>
      </c>
      <c r="B2270" s="1" t="s">
        <v>2337</v>
      </c>
    </row>
    <row r="2271" spans="1:2">
      <c r="A2271" s="23">
        <v>106924</v>
      </c>
      <c r="B2271" s="1" t="s">
        <v>2338</v>
      </c>
    </row>
    <row r="2272" spans="1:2">
      <c r="A2272" s="23">
        <v>106925</v>
      </c>
      <c r="B2272" s="1" t="s">
        <v>2339</v>
      </c>
    </row>
    <row r="2273" spans="1:2">
      <c r="A2273" s="23">
        <v>106926</v>
      </c>
      <c r="B2273" s="1" t="s">
        <v>2340</v>
      </c>
    </row>
    <row r="2274" spans="1:2">
      <c r="A2274" s="23">
        <v>106927</v>
      </c>
      <c r="B2274" s="1" t="s">
        <v>2341</v>
      </c>
    </row>
    <row r="2275" spans="1:2">
      <c r="A2275" s="23">
        <v>106928</v>
      </c>
      <c r="B2275" s="1" t="s">
        <v>2342</v>
      </c>
    </row>
    <row r="2276" spans="1:2">
      <c r="A2276" s="23">
        <v>106929</v>
      </c>
      <c r="B2276" s="1" t="s">
        <v>2343</v>
      </c>
    </row>
    <row r="2277" spans="1:2">
      <c r="A2277" s="23">
        <v>106930</v>
      </c>
      <c r="B2277" s="1" t="s">
        <v>2344</v>
      </c>
    </row>
    <row r="2278" spans="1:2">
      <c r="A2278" s="23">
        <v>106931</v>
      </c>
      <c r="B2278" s="1" t="s">
        <v>2345</v>
      </c>
    </row>
    <row r="2279" spans="1:2">
      <c r="A2279" s="23">
        <v>106932</v>
      </c>
      <c r="B2279" s="1" t="s">
        <v>2346</v>
      </c>
    </row>
    <row r="2280" spans="1:2">
      <c r="A2280" s="23">
        <v>106933</v>
      </c>
      <c r="B2280" s="1" t="s">
        <v>2347</v>
      </c>
    </row>
    <row r="2281" spans="1:2">
      <c r="A2281" s="23">
        <v>106934</v>
      </c>
      <c r="B2281" s="1" t="s">
        <v>2348</v>
      </c>
    </row>
    <row r="2282" spans="1:2">
      <c r="A2282" s="23">
        <v>106935</v>
      </c>
      <c r="B2282" s="1" t="s">
        <v>2349</v>
      </c>
    </row>
    <row r="2283" spans="1:2">
      <c r="A2283" s="23">
        <v>106936</v>
      </c>
      <c r="B2283" s="1" t="s">
        <v>2350</v>
      </c>
    </row>
    <row r="2284" spans="1:2">
      <c r="A2284" s="23">
        <v>106937</v>
      </c>
      <c r="B2284" s="1" t="s">
        <v>2351</v>
      </c>
    </row>
    <row r="2285" spans="1:2">
      <c r="A2285" s="23">
        <v>106938</v>
      </c>
      <c r="B2285" s="1" t="s">
        <v>2352</v>
      </c>
    </row>
    <row r="2286" spans="1:2">
      <c r="A2286" s="23">
        <v>106939</v>
      </c>
      <c r="B2286" s="1" t="s">
        <v>2353</v>
      </c>
    </row>
    <row r="2287" spans="1:2">
      <c r="A2287" s="23">
        <v>106940</v>
      </c>
      <c r="B2287" s="1" t="s">
        <v>2354</v>
      </c>
    </row>
    <row r="2288" spans="1:2">
      <c r="A2288" s="23">
        <v>106941</v>
      </c>
      <c r="B2288" s="1" t="s">
        <v>2355</v>
      </c>
    </row>
    <row r="2289" spans="1:2">
      <c r="A2289" s="23">
        <v>106942</v>
      </c>
      <c r="B2289" s="1" t="s">
        <v>2356</v>
      </c>
    </row>
    <row r="2290" spans="1:2">
      <c r="A2290" s="23">
        <v>106943</v>
      </c>
      <c r="B2290" s="1" t="s">
        <v>2357</v>
      </c>
    </row>
    <row r="2291" spans="1:2">
      <c r="A2291" s="23">
        <v>106944</v>
      </c>
      <c r="B2291" s="1" t="s">
        <v>2358</v>
      </c>
    </row>
    <row r="2292" spans="1:2">
      <c r="A2292" s="23">
        <v>106945</v>
      </c>
      <c r="B2292" s="1" t="s">
        <v>2359</v>
      </c>
    </row>
    <row r="2293" spans="1:2">
      <c r="A2293" s="23">
        <v>106946</v>
      </c>
      <c r="B2293" s="1" t="s">
        <v>2360</v>
      </c>
    </row>
    <row r="2294" spans="1:2">
      <c r="A2294" s="23">
        <v>106947</v>
      </c>
      <c r="B2294" s="1" t="s">
        <v>2361</v>
      </c>
    </row>
    <row r="2295" spans="1:2">
      <c r="A2295" s="23">
        <v>106948</v>
      </c>
      <c r="B2295" s="1" t="s">
        <v>2362</v>
      </c>
    </row>
    <row r="2296" spans="1:2">
      <c r="A2296" s="23">
        <v>106949</v>
      </c>
      <c r="B2296" s="1" t="s">
        <v>2363</v>
      </c>
    </row>
    <row r="2297" spans="1:2">
      <c r="A2297" s="23">
        <v>106950</v>
      </c>
      <c r="B2297" s="1" t="s">
        <v>2364</v>
      </c>
    </row>
    <row r="2298" spans="1:2">
      <c r="A2298" s="23">
        <v>106951</v>
      </c>
      <c r="B2298" s="1" t="s">
        <v>2365</v>
      </c>
    </row>
    <row r="2299" spans="1:2">
      <c r="A2299" s="23">
        <v>106952</v>
      </c>
      <c r="B2299" s="1" t="s">
        <v>2366</v>
      </c>
    </row>
    <row r="2300" spans="1:2">
      <c r="A2300" s="23">
        <v>106953</v>
      </c>
      <c r="B2300" s="1" t="s">
        <v>2367</v>
      </c>
    </row>
    <row r="2301" spans="1:2">
      <c r="A2301" s="23">
        <v>106954</v>
      </c>
      <c r="B2301" s="1" t="s">
        <v>2368</v>
      </c>
    </row>
    <row r="2302" spans="1:2">
      <c r="A2302" s="23">
        <v>106955</v>
      </c>
      <c r="B2302" s="1" t="s">
        <v>2369</v>
      </c>
    </row>
    <row r="2303" spans="1:2">
      <c r="A2303" s="23">
        <v>106956</v>
      </c>
      <c r="B2303" s="1" t="s">
        <v>2370</v>
      </c>
    </row>
    <row r="2304" spans="1:2">
      <c r="A2304" s="23">
        <v>106957</v>
      </c>
      <c r="B2304" s="1" t="s">
        <v>2371</v>
      </c>
    </row>
    <row r="2305" spans="1:2">
      <c r="A2305" s="23">
        <v>106958</v>
      </c>
      <c r="B2305" s="1" t="s">
        <v>2372</v>
      </c>
    </row>
    <row r="2306" spans="1:2">
      <c r="A2306" s="23">
        <v>106959</v>
      </c>
      <c r="B2306" s="1" t="s">
        <v>2373</v>
      </c>
    </row>
    <row r="2307" spans="1:2">
      <c r="A2307" s="23">
        <v>106960</v>
      </c>
      <c r="B2307" s="1" t="s">
        <v>2374</v>
      </c>
    </row>
    <row r="2308" spans="1:2">
      <c r="A2308" s="23">
        <v>106961</v>
      </c>
      <c r="B2308" s="1" t="s">
        <v>2375</v>
      </c>
    </row>
    <row r="2309" spans="1:2">
      <c r="A2309" s="23">
        <v>106962</v>
      </c>
      <c r="B2309" s="1" t="s">
        <v>2376</v>
      </c>
    </row>
    <row r="2310" spans="1:2">
      <c r="A2310" s="23">
        <v>106963</v>
      </c>
      <c r="B2310" s="1" t="s">
        <v>2377</v>
      </c>
    </row>
    <row r="2311" spans="1:2">
      <c r="A2311" s="23">
        <v>106964</v>
      </c>
      <c r="B2311" s="1" t="s">
        <v>2378</v>
      </c>
    </row>
    <row r="2312" spans="1:2">
      <c r="A2312" s="23">
        <v>106965</v>
      </c>
      <c r="B2312" s="1" t="s">
        <v>2379</v>
      </c>
    </row>
    <row r="2313" spans="1:2">
      <c r="A2313" s="23">
        <v>106966</v>
      </c>
      <c r="B2313" s="1" t="s">
        <v>2380</v>
      </c>
    </row>
    <row r="2314" spans="1:2">
      <c r="A2314" s="23">
        <v>106967</v>
      </c>
      <c r="B2314" s="1" t="s">
        <v>2381</v>
      </c>
    </row>
    <row r="2315" spans="1:2">
      <c r="A2315" s="23">
        <v>106968</v>
      </c>
      <c r="B2315" s="1" t="s">
        <v>2382</v>
      </c>
    </row>
    <row r="2316" spans="1:2">
      <c r="A2316" s="23">
        <v>106969</v>
      </c>
      <c r="B2316" s="1" t="s">
        <v>2383</v>
      </c>
    </row>
    <row r="2317" spans="1:2">
      <c r="A2317" s="23">
        <v>106970</v>
      </c>
      <c r="B2317" s="1" t="s">
        <v>2384</v>
      </c>
    </row>
    <row r="2318" spans="1:2">
      <c r="A2318" s="23">
        <v>106971</v>
      </c>
      <c r="B2318" s="1" t="s">
        <v>2385</v>
      </c>
    </row>
    <row r="2319" spans="1:2">
      <c r="A2319" s="23">
        <v>106972</v>
      </c>
      <c r="B2319" s="1" t="s">
        <v>2386</v>
      </c>
    </row>
    <row r="2320" spans="1:2">
      <c r="A2320" s="23">
        <v>106973</v>
      </c>
      <c r="B2320" s="1" t="s">
        <v>2387</v>
      </c>
    </row>
    <row r="2321" spans="1:2">
      <c r="A2321" s="23">
        <v>106974</v>
      </c>
      <c r="B2321" s="1" t="s">
        <v>2388</v>
      </c>
    </row>
    <row r="2322" spans="1:2">
      <c r="A2322" s="23">
        <v>106975</v>
      </c>
      <c r="B2322" s="1" t="s">
        <v>2389</v>
      </c>
    </row>
    <row r="2323" spans="1:2">
      <c r="A2323" s="23">
        <v>106976</v>
      </c>
      <c r="B2323" s="1" t="s">
        <v>2390</v>
      </c>
    </row>
    <row r="2324" spans="1:2">
      <c r="A2324" s="23">
        <v>106977</v>
      </c>
      <c r="B2324" s="1" t="s">
        <v>2391</v>
      </c>
    </row>
    <row r="2325" spans="1:2">
      <c r="A2325" s="23">
        <v>106978</v>
      </c>
      <c r="B2325" s="1" t="s">
        <v>2392</v>
      </c>
    </row>
    <row r="2326" spans="1:2">
      <c r="A2326" s="23">
        <v>106979</v>
      </c>
      <c r="B2326" s="1" t="s">
        <v>2393</v>
      </c>
    </row>
    <row r="2327" spans="1:2">
      <c r="A2327" s="23">
        <v>106980</v>
      </c>
      <c r="B2327" s="1" t="s">
        <v>2394</v>
      </c>
    </row>
    <row r="2328" spans="1:2">
      <c r="A2328" s="23">
        <v>106981</v>
      </c>
      <c r="B2328" s="1" t="s">
        <v>2395</v>
      </c>
    </row>
    <row r="2329" spans="1:2">
      <c r="A2329" s="23">
        <v>106982</v>
      </c>
      <c r="B2329" s="1" t="s">
        <v>2396</v>
      </c>
    </row>
    <row r="2330" spans="1:2">
      <c r="A2330" s="23">
        <v>106983</v>
      </c>
      <c r="B2330" s="1" t="s">
        <v>2397</v>
      </c>
    </row>
    <row r="2331" spans="1:2">
      <c r="A2331" s="23">
        <v>106984</v>
      </c>
      <c r="B2331" s="1" t="s">
        <v>2398</v>
      </c>
    </row>
    <row r="2332" spans="1:2">
      <c r="A2332" s="23">
        <v>106985</v>
      </c>
      <c r="B2332" s="1" t="s">
        <v>2399</v>
      </c>
    </row>
    <row r="2333" spans="1:2">
      <c r="A2333" s="23">
        <v>106986</v>
      </c>
      <c r="B2333" s="1" t="s">
        <v>2400</v>
      </c>
    </row>
    <row r="2334" spans="1:2">
      <c r="A2334" s="23">
        <v>106987</v>
      </c>
      <c r="B2334" s="1" t="s">
        <v>2401</v>
      </c>
    </row>
    <row r="2335" spans="1:2">
      <c r="A2335" s="23">
        <v>106988</v>
      </c>
      <c r="B2335" s="1" t="s">
        <v>2402</v>
      </c>
    </row>
    <row r="2336" spans="1:2">
      <c r="A2336" s="23">
        <v>106989</v>
      </c>
      <c r="B2336" s="1" t="s">
        <v>2403</v>
      </c>
    </row>
    <row r="2337" spans="1:2">
      <c r="A2337" s="23">
        <v>106990</v>
      </c>
      <c r="B2337" s="1" t="s">
        <v>2404</v>
      </c>
    </row>
    <row r="2338" spans="1:2">
      <c r="A2338" s="23">
        <v>106991</v>
      </c>
      <c r="B2338" s="1" t="s">
        <v>2405</v>
      </c>
    </row>
    <row r="2339" spans="1:2">
      <c r="A2339" s="23">
        <v>106992</v>
      </c>
      <c r="B2339" s="1" t="s">
        <v>2406</v>
      </c>
    </row>
    <row r="2340" spans="1:2">
      <c r="A2340" s="23">
        <v>106993</v>
      </c>
      <c r="B2340" s="1" t="s">
        <v>2407</v>
      </c>
    </row>
    <row r="2341" spans="1:2">
      <c r="A2341" s="23">
        <v>106994</v>
      </c>
      <c r="B2341" s="1" t="s">
        <v>2408</v>
      </c>
    </row>
    <row r="2342" spans="1:2">
      <c r="A2342" s="23">
        <v>106995</v>
      </c>
      <c r="B2342" s="1" t="s">
        <v>2409</v>
      </c>
    </row>
    <row r="2343" spans="1:2">
      <c r="A2343" s="23">
        <v>106996</v>
      </c>
      <c r="B2343" s="1" t="s">
        <v>2410</v>
      </c>
    </row>
    <row r="2344" spans="1:2">
      <c r="A2344" s="23">
        <v>106997</v>
      </c>
      <c r="B2344" s="1" t="s">
        <v>2411</v>
      </c>
    </row>
    <row r="2345" spans="1:2">
      <c r="A2345" s="23">
        <v>106998</v>
      </c>
      <c r="B2345" s="1" t="s">
        <v>2412</v>
      </c>
    </row>
    <row r="2346" spans="1:2">
      <c r="A2346" s="23">
        <v>106999</v>
      </c>
      <c r="B2346" s="1" t="s">
        <v>2413</v>
      </c>
    </row>
    <row r="2347" spans="1:2">
      <c r="A2347" s="23">
        <v>107000</v>
      </c>
      <c r="B2347" s="1" t="s">
        <v>2414</v>
      </c>
    </row>
    <row r="2348" spans="1:2">
      <c r="A2348" s="23">
        <v>107001</v>
      </c>
      <c r="B2348" s="1" t="s">
        <v>2415</v>
      </c>
    </row>
    <row r="2349" spans="1:2">
      <c r="A2349" s="23">
        <v>107002</v>
      </c>
      <c r="B2349" s="1" t="s">
        <v>2416</v>
      </c>
    </row>
    <row r="2350" spans="1:2">
      <c r="A2350" s="23">
        <v>107003</v>
      </c>
      <c r="B2350" s="1" t="s">
        <v>2417</v>
      </c>
    </row>
    <row r="2351" spans="1:2">
      <c r="A2351" s="23">
        <v>107004</v>
      </c>
      <c r="B2351" s="1" t="s">
        <v>2418</v>
      </c>
    </row>
    <row r="2352" spans="1:2">
      <c r="A2352" s="23">
        <v>107005</v>
      </c>
      <c r="B2352" s="1" t="s">
        <v>2419</v>
      </c>
    </row>
    <row r="2353" spans="1:2">
      <c r="A2353" s="23">
        <v>107006</v>
      </c>
      <c r="B2353" s="1" t="s">
        <v>2420</v>
      </c>
    </row>
    <row r="2354" spans="1:2">
      <c r="A2354" s="23">
        <v>107007</v>
      </c>
      <c r="B2354" s="1" t="s">
        <v>2421</v>
      </c>
    </row>
    <row r="2355" spans="1:2">
      <c r="A2355" s="23">
        <v>107008</v>
      </c>
      <c r="B2355" s="1" t="s">
        <v>2422</v>
      </c>
    </row>
    <row r="2356" spans="1:2">
      <c r="A2356" s="23">
        <v>107009</v>
      </c>
      <c r="B2356" s="1" t="s">
        <v>2423</v>
      </c>
    </row>
    <row r="2357" spans="1:2">
      <c r="A2357" s="23">
        <v>107010</v>
      </c>
      <c r="B2357" s="1" t="s">
        <v>2424</v>
      </c>
    </row>
    <row r="2358" spans="1:2">
      <c r="A2358" s="23">
        <v>107011</v>
      </c>
      <c r="B2358" s="1" t="s">
        <v>2425</v>
      </c>
    </row>
    <row r="2359" spans="1:2">
      <c r="A2359" s="23">
        <v>107012</v>
      </c>
      <c r="B2359" s="1" t="s">
        <v>2426</v>
      </c>
    </row>
    <row r="2360" spans="1:2">
      <c r="A2360" s="23">
        <v>107013</v>
      </c>
      <c r="B2360" s="1" t="s">
        <v>2427</v>
      </c>
    </row>
    <row r="2361" spans="1:2">
      <c r="A2361" s="23">
        <v>107014</v>
      </c>
      <c r="B2361" s="1" t="s">
        <v>2428</v>
      </c>
    </row>
    <row r="2362" spans="1:2">
      <c r="A2362" s="23">
        <v>107015</v>
      </c>
      <c r="B2362" s="1" t="s">
        <v>2429</v>
      </c>
    </row>
    <row r="2363" spans="1:2">
      <c r="A2363" s="23">
        <v>107016</v>
      </c>
      <c r="B2363" s="1" t="s">
        <v>2430</v>
      </c>
    </row>
    <row r="2364" spans="1:2">
      <c r="A2364" s="23">
        <v>107017</v>
      </c>
      <c r="B2364" s="1" t="s">
        <v>2431</v>
      </c>
    </row>
    <row r="2365" spans="1:2">
      <c r="A2365" s="23">
        <v>107018</v>
      </c>
      <c r="B2365" s="1" t="s">
        <v>2432</v>
      </c>
    </row>
    <row r="2366" spans="1:2">
      <c r="A2366" s="23">
        <v>107019</v>
      </c>
      <c r="B2366" s="1" t="s">
        <v>2433</v>
      </c>
    </row>
    <row r="2367" spans="1:2">
      <c r="A2367" s="23">
        <v>107020</v>
      </c>
      <c r="B2367" s="1" t="s">
        <v>2434</v>
      </c>
    </row>
    <row r="2368" spans="1:2">
      <c r="A2368" s="23">
        <v>107021</v>
      </c>
      <c r="B2368" s="1" t="s">
        <v>2435</v>
      </c>
    </row>
    <row r="2369" spans="1:2">
      <c r="A2369" s="23">
        <v>107022</v>
      </c>
      <c r="B2369" s="1" t="s">
        <v>2436</v>
      </c>
    </row>
    <row r="2370" spans="1:2">
      <c r="A2370" s="23">
        <v>107023</v>
      </c>
      <c r="B2370" s="1" t="s">
        <v>2437</v>
      </c>
    </row>
    <row r="2371" spans="1:2">
      <c r="A2371" s="23">
        <v>107024</v>
      </c>
      <c r="B2371" s="1" t="s">
        <v>2438</v>
      </c>
    </row>
    <row r="2372" spans="1:2">
      <c r="A2372" s="23">
        <v>107025</v>
      </c>
      <c r="B2372" s="1" t="s">
        <v>2439</v>
      </c>
    </row>
    <row r="2373" spans="1:2">
      <c r="A2373" s="23">
        <v>107026</v>
      </c>
      <c r="B2373" s="1" t="s">
        <v>2440</v>
      </c>
    </row>
    <row r="2374" spans="1:2">
      <c r="A2374" s="23">
        <v>107027</v>
      </c>
      <c r="B2374" s="1" t="s">
        <v>2441</v>
      </c>
    </row>
    <row r="2375" spans="1:2">
      <c r="A2375" s="23">
        <v>107028</v>
      </c>
      <c r="B2375" s="1" t="s">
        <v>2442</v>
      </c>
    </row>
    <row r="2376" spans="1:2">
      <c r="A2376" s="23">
        <v>107029</v>
      </c>
      <c r="B2376" s="1" t="s">
        <v>2443</v>
      </c>
    </row>
    <row r="2377" spans="1:2">
      <c r="A2377" s="23">
        <v>107030</v>
      </c>
      <c r="B2377" s="1" t="s">
        <v>2444</v>
      </c>
    </row>
    <row r="2378" spans="1:2">
      <c r="A2378" s="23">
        <v>107031</v>
      </c>
      <c r="B2378" s="1" t="s">
        <v>2445</v>
      </c>
    </row>
    <row r="2379" spans="1:2">
      <c r="A2379" s="23">
        <v>107032</v>
      </c>
      <c r="B2379" s="1" t="s">
        <v>2446</v>
      </c>
    </row>
    <row r="2380" spans="1:2">
      <c r="A2380" s="23">
        <v>107033</v>
      </c>
      <c r="B2380" s="1" t="s">
        <v>2447</v>
      </c>
    </row>
    <row r="2381" spans="1:2">
      <c r="A2381" s="23">
        <v>107034</v>
      </c>
      <c r="B2381" s="1" t="s">
        <v>2448</v>
      </c>
    </row>
    <row r="2382" spans="1:2">
      <c r="A2382" s="23">
        <v>107035</v>
      </c>
      <c r="B2382" s="1" t="s">
        <v>2449</v>
      </c>
    </row>
    <row r="2383" spans="1:2">
      <c r="A2383" s="23">
        <v>107036</v>
      </c>
      <c r="B2383" s="1" t="s">
        <v>2450</v>
      </c>
    </row>
    <row r="2384" spans="1:2">
      <c r="A2384" s="23">
        <v>107037</v>
      </c>
      <c r="B2384" s="1" t="s">
        <v>2451</v>
      </c>
    </row>
    <row r="2385" spans="1:2">
      <c r="A2385" s="23">
        <v>107038</v>
      </c>
      <c r="B2385" s="1" t="s">
        <v>2452</v>
      </c>
    </row>
    <row r="2386" spans="1:2">
      <c r="A2386" s="23">
        <v>107039</v>
      </c>
      <c r="B2386" s="1" t="s">
        <v>2453</v>
      </c>
    </row>
    <row r="2387" spans="1:2">
      <c r="A2387" s="23">
        <v>107040</v>
      </c>
      <c r="B2387" s="1" t="s">
        <v>2454</v>
      </c>
    </row>
    <row r="2388" spans="1:2">
      <c r="A2388" s="23">
        <v>107041</v>
      </c>
      <c r="B2388" s="1" t="s">
        <v>2455</v>
      </c>
    </row>
    <row r="2389" spans="1:2">
      <c r="A2389" s="23">
        <v>107042</v>
      </c>
      <c r="B2389" s="1" t="s">
        <v>2456</v>
      </c>
    </row>
    <row r="2390" spans="1:2">
      <c r="A2390" s="23">
        <v>107043</v>
      </c>
      <c r="B2390" s="1" t="s">
        <v>2457</v>
      </c>
    </row>
    <row r="2391" spans="1:2">
      <c r="A2391" s="23">
        <v>107044</v>
      </c>
      <c r="B2391" s="1" t="s">
        <v>2458</v>
      </c>
    </row>
    <row r="2392" spans="1:2">
      <c r="A2392" s="23">
        <v>107045</v>
      </c>
      <c r="B2392" s="1" t="s">
        <v>2459</v>
      </c>
    </row>
    <row r="2393" spans="1:2">
      <c r="A2393" s="23">
        <v>107046</v>
      </c>
      <c r="B2393" s="1" t="s">
        <v>2460</v>
      </c>
    </row>
    <row r="2394" spans="1:2">
      <c r="A2394" s="23">
        <v>107047</v>
      </c>
      <c r="B2394" s="1" t="s">
        <v>2461</v>
      </c>
    </row>
    <row r="2395" spans="1:2">
      <c r="A2395" s="23">
        <v>107048</v>
      </c>
      <c r="B2395" s="1" t="s">
        <v>2462</v>
      </c>
    </row>
    <row r="2396" spans="1:2">
      <c r="A2396" s="23">
        <v>107049</v>
      </c>
      <c r="B2396" s="1" t="s">
        <v>2463</v>
      </c>
    </row>
    <row r="2397" spans="1:2">
      <c r="A2397" s="23">
        <v>107050</v>
      </c>
      <c r="B2397" s="1" t="s">
        <v>2464</v>
      </c>
    </row>
    <row r="2398" spans="1:2">
      <c r="A2398" s="23">
        <v>107051</v>
      </c>
      <c r="B2398" s="1" t="s">
        <v>2465</v>
      </c>
    </row>
    <row r="2399" spans="1:2">
      <c r="A2399" s="23">
        <v>107052</v>
      </c>
      <c r="B2399" s="1" t="s">
        <v>2466</v>
      </c>
    </row>
    <row r="2400" spans="1:2">
      <c r="A2400" s="23">
        <v>107053</v>
      </c>
      <c r="B2400" s="1" t="s">
        <v>2467</v>
      </c>
    </row>
    <row r="2401" spans="1:2">
      <c r="A2401" s="23">
        <v>107054</v>
      </c>
      <c r="B2401" s="1" t="s">
        <v>2468</v>
      </c>
    </row>
    <row r="2402" spans="1:2">
      <c r="A2402" s="23">
        <v>107055</v>
      </c>
      <c r="B2402" s="1" t="s">
        <v>2469</v>
      </c>
    </row>
    <row r="2403" spans="1:2">
      <c r="A2403" s="23">
        <v>107056</v>
      </c>
      <c r="B2403" s="1" t="s">
        <v>2470</v>
      </c>
    </row>
    <row r="2404" spans="1:2">
      <c r="A2404" s="23">
        <v>107057</v>
      </c>
      <c r="B2404" s="1" t="s">
        <v>2471</v>
      </c>
    </row>
    <row r="2405" spans="1:2">
      <c r="A2405" s="23">
        <v>107058</v>
      </c>
      <c r="B2405" s="1" t="s">
        <v>2472</v>
      </c>
    </row>
    <row r="2406" spans="1:2">
      <c r="A2406" s="23">
        <v>107059</v>
      </c>
      <c r="B2406" s="1" t="s">
        <v>2473</v>
      </c>
    </row>
    <row r="2407" spans="1:2">
      <c r="A2407" s="23">
        <v>107060</v>
      </c>
      <c r="B2407" s="1" t="s">
        <v>2474</v>
      </c>
    </row>
    <row r="2408" spans="1:2">
      <c r="A2408" s="23">
        <v>107061</v>
      </c>
      <c r="B2408" s="1" t="s">
        <v>2475</v>
      </c>
    </row>
    <row r="2409" spans="1:2">
      <c r="A2409" s="23">
        <v>107062</v>
      </c>
      <c r="B2409" s="1" t="s">
        <v>2476</v>
      </c>
    </row>
    <row r="2410" spans="1:2">
      <c r="A2410" s="23">
        <v>107063</v>
      </c>
      <c r="B2410" s="1" t="s">
        <v>2477</v>
      </c>
    </row>
    <row r="2411" spans="1:2">
      <c r="A2411" s="23">
        <v>107064</v>
      </c>
      <c r="B2411" s="1" t="s">
        <v>2478</v>
      </c>
    </row>
    <row r="2412" spans="1:2">
      <c r="A2412" s="23">
        <v>107065</v>
      </c>
      <c r="B2412" s="1" t="s">
        <v>2479</v>
      </c>
    </row>
    <row r="2413" spans="1:2">
      <c r="A2413" s="23">
        <v>107066</v>
      </c>
      <c r="B2413" s="1" t="s">
        <v>2480</v>
      </c>
    </row>
    <row r="2414" spans="1:2">
      <c r="A2414" s="23">
        <v>107067</v>
      </c>
      <c r="B2414" s="1" t="s">
        <v>2481</v>
      </c>
    </row>
    <row r="2415" spans="1:2">
      <c r="A2415" s="23">
        <v>107068</v>
      </c>
      <c r="B2415" s="1" t="s">
        <v>2482</v>
      </c>
    </row>
    <row r="2416" spans="1:2">
      <c r="A2416" s="23">
        <v>107069</v>
      </c>
      <c r="B2416" s="1" t="s">
        <v>2483</v>
      </c>
    </row>
    <row r="2417" spans="1:2">
      <c r="A2417" s="23">
        <v>107070</v>
      </c>
      <c r="B2417" s="1" t="s">
        <v>2484</v>
      </c>
    </row>
    <row r="2418" spans="1:2">
      <c r="A2418" s="23">
        <v>107071</v>
      </c>
      <c r="B2418" s="1" t="s">
        <v>2485</v>
      </c>
    </row>
    <row r="2419" spans="1:2">
      <c r="A2419" s="23">
        <v>107072</v>
      </c>
      <c r="B2419" s="1" t="s">
        <v>2486</v>
      </c>
    </row>
    <row r="2420" spans="1:2">
      <c r="A2420" s="23">
        <v>107073</v>
      </c>
      <c r="B2420" s="1" t="s">
        <v>2487</v>
      </c>
    </row>
    <row r="2421" spans="1:2">
      <c r="A2421" s="23">
        <v>107074</v>
      </c>
      <c r="B2421" s="1" t="s">
        <v>2488</v>
      </c>
    </row>
    <row r="2422" spans="1:2">
      <c r="A2422" s="23">
        <v>107075</v>
      </c>
      <c r="B2422" s="1" t="s">
        <v>2489</v>
      </c>
    </row>
    <row r="2423" spans="1:2">
      <c r="A2423" s="23">
        <v>107076</v>
      </c>
      <c r="B2423" s="1" t="s">
        <v>2490</v>
      </c>
    </row>
    <row r="2424" spans="1:2">
      <c r="A2424" s="23">
        <v>107077</v>
      </c>
      <c r="B2424" s="1" t="s">
        <v>2491</v>
      </c>
    </row>
    <row r="2425" spans="1:2">
      <c r="A2425" s="23">
        <v>107078</v>
      </c>
      <c r="B2425" s="1" t="s">
        <v>2492</v>
      </c>
    </row>
    <row r="2426" spans="1:2">
      <c r="A2426" s="23">
        <v>107079</v>
      </c>
      <c r="B2426" s="1" t="s">
        <v>2493</v>
      </c>
    </row>
    <row r="2427" spans="1:2">
      <c r="A2427" s="23">
        <v>107080</v>
      </c>
      <c r="B2427" s="1" t="s">
        <v>2494</v>
      </c>
    </row>
    <row r="2428" spans="1:2">
      <c r="A2428" s="23">
        <v>107081</v>
      </c>
      <c r="B2428" s="1" t="s">
        <v>2495</v>
      </c>
    </row>
    <row r="2429" spans="1:2">
      <c r="A2429" s="23">
        <v>107082</v>
      </c>
      <c r="B2429" s="1" t="s">
        <v>2496</v>
      </c>
    </row>
    <row r="2430" spans="1:2">
      <c r="A2430" s="23">
        <v>107083</v>
      </c>
      <c r="B2430" s="1" t="s">
        <v>2497</v>
      </c>
    </row>
    <row r="2431" spans="1:2">
      <c r="A2431" s="23">
        <v>107084</v>
      </c>
      <c r="B2431" s="1" t="s">
        <v>2498</v>
      </c>
    </row>
    <row r="2432" spans="1:2">
      <c r="A2432" s="23">
        <v>107085</v>
      </c>
      <c r="B2432" s="1" t="s">
        <v>2499</v>
      </c>
    </row>
    <row r="2433" spans="1:2">
      <c r="A2433" s="23">
        <v>107086</v>
      </c>
      <c r="B2433" s="1" t="s">
        <v>2500</v>
      </c>
    </row>
    <row r="2434" spans="1:2">
      <c r="A2434" s="23">
        <v>107087</v>
      </c>
      <c r="B2434" s="1" t="s">
        <v>2501</v>
      </c>
    </row>
    <row r="2435" spans="1:2">
      <c r="A2435" s="23">
        <v>107088</v>
      </c>
      <c r="B2435" s="1" t="s">
        <v>2502</v>
      </c>
    </row>
    <row r="2436" spans="1:2">
      <c r="A2436" s="23">
        <v>107089</v>
      </c>
      <c r="B2436" s="1" t="s">
        <v>2503</v>
      </c>
    </row>
    <row r="2437" spans="1:2">
      <c r="A2437" s="23">
        <v>107090</v>
      </c>
      <c r="B2437" s="1" t="s">
        <v>2504</v>
      </c>
    </row>
    <row r="2438" spans="1:2">
      <c r="A2438" s="23">
        <v>107091</v>
      </c>
      <c r="B2438" s="1" t="s">
        <v>2505</v>
      </c>
    </row>
    <row r="2439" spans="1:2">
      <c r="A2439" s="23">
        <v>107092</v>
      </c>
      <c r="B2439" s="1" t="s">
        <v>2506</v>
      </c>
    </row>
    <row r="2440" spans="1:2">
      <c r="A2440" s="23">
        <v>107093</v>
      </c>
      <c r="B2440" s="1" t="s">
        <v>2507</v>
      </c>
    </row>
    <row r="2441" spans="1:2">
      <c r="A2441" s="23">
        <v>107094</v>
      </c>
      <c r="B2441" s="1" t="s">
        <v>2508</v>
      </c>
    </row>
    <row r="2442" spans="1:2">
      <c r="A2442" s="23">
        <v>107095</v>
      </c>
      <c r="B2442" s="1" t="s">
        <v>2509</v>
      </c>
    </row>
    <row r="2443" spans="1:2">
      <c r="A2443" s="23">
        <v>107096</v>
      </c>
      <c r="B2443" s="1" t="s">
        <v>2510</v>
      </c>
    </row>
    <row r="2444" spans="1:2">
      <c r="A2444" s="23">
        <v>107097</v>
      </c>
      <c r="B2444" s="1" t="s">
        <v>2511</v>
      </c>
    </row>
    <row r="2445" spans="1:2">
      <c r="A2445" s="23">
        <v>107098</v>
      </c>
      <c r="B2445" s="1" t="s">
        <v>2512</v>
      </c>
    </row>
    <row r="2446" spans="1:2">
      <c r="A2446" s="23">
        <v>107099</v>
      </c>
      <c r="B2446" s="1" t="s">
        <v>2513</v>
      </c>
    </row>
    <row r="2447" spans="1:2">
      <c r="A2447" s="23">
        <v>107100</v>
      </c>
      <c r="B2447" s="1" t="s">
        <v>2514</v>
      </c>
    </row>
    <row r="2448" spans="1:2">
      <c r="A2448" s="23">
        <v>107101</v>
      </c>
      <c r="B2448" s="1" t="s">
        <v>2515</v>
      </c>
    </row>
    <row r="2449" spans="1:2">
      <c r="A2449" s="23">
        <v>107102</v>
      </c>
      <c r="B2449" s="1" t="s">
        <v>2516</v>
      </c>
    </row>
    <row r="2450" spans="1:2">
      <c r="A2450" s="23">
        <v>107103</v>
      </c>
      <c r="B2450" s="1" t="s">
        <v>2517</v>
      </c>
    </row>
    <row r="2451" spans="1:2">
      <c r="A2451" s="23">
        <v>107104</v>
      </c>
      <c r="B2451" s="1" t="s">
        <v>2518</v>
      </c>
    </row>
    <row r="2452" spans="1:2">
      <c r="A2452" s="23">
        <v>107105</v>
      </c>
      <c r="B2452" s="1" t="s">
        <v>2519</v>
      </c>
    </row>
    <row r="2453" spans="1:2">
      <c r="A2453" s="23">
        <v>107106</v>
      </c>
      <c r="B2453" s="1" t="s">
        <v>2520</v>
      </c>
    </row>
    <row r="2454" spans="1:2">
      <c r="A2454" s="23">
        <v>107107</v>
      </c>
      <c r="B2454" s="1" t="s">
        <v>2521</v>
      </c>
    </row>
    <row r="2455" spans="1:2">
      <c r="A2455" s="23">
        <v>107108</v>
      </c>
      <c r="B2455" s="1" t="s">
        <v>2522</v>
      </c>
    </row>
    <row r="2456" spans="1:2">
      <c r="A2456" s="23">
        <v>107109</v>
      </c>
      <c r="B2456" s="1" t="s">
        <v>2523</v>
      </c>
    </row>
    <row r="2457" spans="1:2">
      <c r="A2457" s="23">
        <v>107110</v>
      </c>
      <c r="B2457" s="1" t="s">
        <v>2524</v>
      </c>
    </row>
    <row r="2458" spans="1:2">
      <c r="A2458" s="23">
        <v>107111</v>
      </c>
      <c r="B2458" s="1" t="s">
        <v>2525</v>
      </c>
    </row>
    <row r="2459" spans="1:2">
      <c r="A2459" s="23">
        <v>107112</v>
      </c>
      <c r="B2459" s="1" t="s">
        <v>2526</v>
      </c>
    </row>
    <row r="2460" spans="1:2">
      <c r="A2460" s="23">
        <v>107113</v>
      </c>
      <c r="B2460" s="1" t="s">
        <v>2527</v>
      </c>
    </row>
    <row r="2461" spans="1:2">
      <c r="A2461" s="23">
        <v>107114</v>
      </c>
      <c r="B2461" s="1" t="s">
        <v>2528</v>
      </c>
    </row>
    <row r="2462" spans="1:2">
      <c r="A2462" s="23">
        <v>107115</v>
      </c>
      <c r="B2462" s="1" t="s">
        <v>2529</v>
      </c>
    </row>
    <row r="2463" spans="1:2">
      <c r="A2463" s="23">
        <v>107116</v>
      </c>
      <c r="B2463" s="1" t="s">
        <v>2530</v>
      </c>
    </row>
    <row r="2464" spans="1:2">
      <c r="A2464" s="23">
        <v>107117</v>
      </c>
      <c r="B2464" s="1" t="s">
        <v>2531</v>
      </c>
    </row>
    <row r="2465" spans="1:2">
      <c r="A2465" s="23">
        <v>107118</v>
      </c>
      <c r="B2465" s="1" t="s">
        <v>2532</v>
      </c>
    </row>
    <row r="2466" spans="1:2">
      <c r="A2466" s="23">
        <v>107119</v>
      </c>
      <c r="B2466" s="1" t="s">
        <v>2533</v>
      </c>
    </row>
    <row r="2467" spans="1:2">
      <c r="A2467" s="23">
        <v>107120</v>
      </c>
      <c r="B2467" s="1" t="s">
        <v>2534</v>
      </c>
    </row>
    <row r="2468" spans="1:2">
      <c r="A2468" s="23">
        <v>107121</v>
      </c>
      <c r="B2468" s="1" t="s">
        <v>2535</v>
      </c>
    </row>
    <row r="2469" spans="1:2">
      <c r="A2469" s="23">
        <v>107122</v>
      </c>
      <c r="B2469" s="1" t="s">
        <v>2536</v>
      </c>
    </row>
    <row r="2470" spans="1:2">
      <c r="A2470" s="23">
        <v>107123</v>
      </c>
      <c r="B2470" s="1" t="s">
        <v>2537</v>
      </c>
    </row>
    <row r="2471" spans="1:2">
      <c r="A2471" s="23">
        <v>107124</v>
      </c>
      <c r="B2471" s="1" t="s">
        <v>2538</v>
      </c>
    </row>
    <row r="2472" spans="1:2">
      <c r="A2472" s="23">
        <v>107125</v>
      </c>
      <c r="B2472" s="1" t="s">
        <v>2539</v>
      </c>
    </row>
    <row r="2473" spans="1:2">
      <c r="A2473" s="23">
        <v>107126</v>
      </c>
      <c r="B2473" s="1" t="s">
        <v>2540</v>
      </c>
    </row>
    <row r="2474" spans="1:2">
      <c r="A2474" s="23">
        <v>107127</v>
      </c>
      <c r="B2474" s="1" t="s">
        <v>2541</v>
      </c>
    </row>
    <row r="2475" spans="1:2">
      <c r="A2475" s="23">
        <v>107128</v>
      </c>
      <c r="B2475" s="1" t="s">
        <v>2542</v>
      </c>
    </row>
    <row r="2476" spans="1:2">
      <c r="A2476" s="23">
        <v>107129</v>
      </c>
      <c r="B2476" s="1" t="s">
        <v>2543</v>
      </c>
    </row>
    <row r="2477" spans="1:2">
      <c r="A2477" s="23">
        <v>107130</v>
      </c>
      <c r="B2477" s="1" t="s">
        <v>2544</v>
      </c>
    </row>
    <row r="2478" spans="1:2">
      <c r="A2478" s="23">
        <v>107131</v>
      </c>
      <c r="B2478" s="1" t="s">
        <v>2545</v>
      </c>
    </row>
    <row r="2479" spans="1:2">
      <c r="A2479" s="23">
        <v>107132</v>
      </c>
      <c r="B2479" s="1" t="s">
        <v>2546</v>
      </c>
    </row>
    <row r="2480" spans="1:2">
      <c r="A2480" s="23">
        <v>107133</v>
      </c>
      <c r="B2480" s="1" t="s">
        <v>2547</v>
      </c>
    </row>
    <row r="2481" spans="1:2">
      <c r="A2481" s="23">
        <v>107134</v>
      </c>
      <c r="B2481" s="1" t="s">
        <v>2548</v>
      </c>
    </row>
    <row r="2482" spans="1:2">
      <c r="A2482" s="23">
        <v>107135</v>
      </c>
      <c r="B2482" s="1" t="s">
        <v>2549</v>
      </c>
    </row>
    <row r="2483" spans="1:2">
      <c r="A2483" s="23">
        <v>107136</v>
      </c>
      <c r="B2483" s="1" t="s">
        <v>2550</v>
      </c>
    </row>
    <row r="2484" spans="1:2">
      <c r="A2484" s="23">
        <v>107137</v>
      </c>
      <c r="B2484" s="1" t="s">
        <v>2551</v>
      </c>
    </row>
    <row r="2485" spans="1:2">
      <c r="A2485" s="23">
        <v>107138</v>
      </c>
      <c r="B2485" s="1" t="s">
        <v>2552</v>
      </c>
    </row>
    <row r="2486" spans="1:2">
      <c r="A2486" s="23">
        <v>107139</v>
      </c>
      <c r="B2486" s="1" t="s">
        <v>2553</v>
      </c>
    </row>
    <row r="2487" spans="1:2">
      <c r="A2487" s="23">
        <v>107140</v>
      </c>
      <c r="B2487" s="1" t="s">
        <v>2554</v>
      </c>
    </row>
    <row r="2488" spans="1:2">
      <c r="A2488" s="23">
        <v>107141</v>
      </c>
      <c r="B2488" s="1" t="s">
        <v>2555</v>
      </c>
    </row>
    <row r="2489" spans="1:2">
      <c r="A2489" s="23">
        <v>107142</v>
      </c>
      <c r="B2489" s="1" t="s">
        <v>2556</v>
      </c>
    </row>
    <row r="2490" spans="1:2">
      <c r="A2490" s="23">
        <v>107143</v>
      </c>
      <c r="B2490" s="1" t="s">
        <v>2557</v>
      </c>
    </row>
    <row r="2491" spans="1:2">
      <c r="A2491" s="23">
        <v>107144</v>
      </c>
      <c r="B2491" s="1" t="s">
        <v>2558</v>
      </c>
    </row>
    <row r="2492" spans="1:2">
      <c r="A2492" s="23">
        <v>107145</v>
      </c>
      <c r="B2492" s="1" t="s">
        <v>2559</v>
      </c>
    </row>
    <row r="2493" spans="1:2">
      <c r="A2493" s="23">
        <v>107146</v>
      </c>
      <c r="B2493" s="1" t="s">
        <v>2560</v>
      </c>
    </row>
    <row r="2494" spans="1:2">
      <c r="A2494" s="23">
        <v>107147</v>
      </c>
      <c r="B2494" s="1" t="s">
        <v>2561</v>
      </c>
    </row>
    <row r="2495" spans="1:2">
      <c r="A2495" s="23">
        <v>107148</v>
      </c>
      <c r="B2495" s="1" t="s">
        <v>2562</v>
      </c>
    </row>
    <row r="2496" spans="1:2">
      <c r="A2496" s="23">
        <v>107149</v>
      </c>
      <c r="B2496" s="1" t="s">
        <v>2563</v>
      </c>
    </row>
    <row r="2497" spans="1:2">
      <c r="A2497" s="23">
        <v>107150</v>
      </c>
      <c r="B2497" s="1" t="s">
        <v>2564</v>
      </c>
    </row>
    <row r="2498" spans="1:2">
      <c r="A2498" s="23">
        <v>107151</v>
      </c>
      <c r="B2498" s="1" t="s">
        <v>2565</v>
      </c>
    </row>
    <row r="2499" spans="1:2">
      <c r="A2499" s="23">
        <v>107152</v>
      </c>
      <c r="B2499" s="1" t="s">
        <v>2566</v>
      </c>
    </row>
    <row r="2500" spans="1:2">
      <c r="A2500" s="23">
        <v>107153</v>
      </c>
      <c r="B2500" s="1" t="s">
        <v>2567</v>
      </c>
    </row>
    <row r="2501" spans="1:2">
      <c r="A2501" s="23">
        <v>107154</v>
      </c>
      <c r="B2501" s="1" t="s">
        <v>2568</v>
      </c>
    </row>
    <row r="2502" spans="1:2">
      <c r="A2502" s="23">
        <v>107155</v>
      </c>
      <c r="B2502" s="1" t="s">
        <v>2569</v>
      </c>
    </row>
    <row r="2503" spans="1:2">
      <c r="A2503" s="23">
        <v>107156</v>
      </c>
      <c r="B2503" s="1" t="s">
        <v>2570</v>
      </c>
    </row>
    <row r="2504" spans="1:2">
      <c r="A2504" s="23">
        <v>107157</v>
      </c>
      <c r="B2504" s="1" t="s">
        <v>2571</v>
      </c>
    </row>
    <row r="2505" spans="1:2">
      <c r="A2505" s="23">
        <v>107158</v>
      </c>
      <c r="B2505" s="1" t="s">
        <v>2572</v>
      </c>
    </row>
    <row r="2506" spans="1:2">
      <c r="A2506" s="23">
        <v>107159</v>
      </c>
      <c r="B2506" s="1" t="s">
        <v>2573</v>
      </c>
    </row>
    <row r="2507" spans="1:2">
      <c r="A2507" s="23">
        <v>107160</v>
      </c>
      <c r="B2507" s="1" t="s">
        <v>2574</v>
      </c>
    </row>
    <row r="2508" spans="1:2">
      <c r="A2508" s="23">
        <v>107161</v>
      </c>
      <c r="B2508" s="1" t="s">
        <v>2575</v>
      </c>
    </row>
    <row r="2509" spans="1:2">
      <c r="A2509" s="23">
        <v>107162</v>
      </c>
      <c r="B2509" s="1" t="s">
        <v>2576</v>
      </c>
    </row>
    <row r="2510" spans="1:2">
      <c r="A2510" s="23">
        <v>107163</v>
      </c>
      <c r="B2510" s="1" t="s">
        <v>2577</v>
      </c>
    </row>
    <row r="2511" spans="1:2">
      <c r="A2511" s="23">
        <v>107164</v>
      </c>
      <c r="B2511" s="1" t="s">
        <v>2578</v>
      </c>
    </row>
    <row r="2512" spans="1:2">
      <c r="A2512" s="23">
        <v>107165</v>
      </c>
      <c r="B2512" s="1" t="s">
        <v>2579</v>
      </c>
    </row>
    <row r="2513" spans="1:2">
      <c r="A2513" s="23">
        <v>107166</v>
      </c>
      <c r="B2513" s="1" t="s">
        <v>2580</v>
      </c>
    </row>
    <row r="2514" spans="1:2">
      <c r="A2514" s="23">
        <v>107167</v>
      </c>
      <c r="B2514" s="1" t="s">
        <v>2581</v>
      </c>
    </row>
    <row r="2515" spans="1:2">
      <c r="A2515" s="23">
        <v>107168</v>
      </c>
      <c r="B2515" s="1" t="s">
        <v>2582</v>
      </c>
    </row>
    <row r="2516" spans="1:2">
      <c r="A2516" s="23">
        <v>107169</v>
      </c>
      <c r="B2516" s="1" t="s">
        <v>2583</v>
      </c>
    </row>
    <row r="2517" spans="1:2">
      <c r="A2517" s="23">
        <v>107170</v>
      </c>
      <c r="B2517" s="1" t="s">
        <v>2584</v>
      </c>
    </row>
    <row r="2518" spans="1:2">
      <c r="A2518" s="23">
        <v>107171</v>
      </c>
      <c r="B2518" s="1" t="s">
        <v>2585</v>
      </c>
    </row>
    <row r="2519" spans="1:2">
      <c r="A2519" s="23">
        <v>107172</v>
      </c>
      <c r="B2519" s="1" t="s">
        <v>2586</v>
      </c>
    </row>
    <row r="2520" spans="1:2">
      <c r="A2520" s="23">
        <v>107173</v>
      </c>
      <c r="B2520" s="1" t="s">
        <v>2587</v>
      </c>
    </row>
    <row r="2521" spans="1:2">
      <c r="A2521" s="23">
        <v>107174</v>
      </c>
      <c r="B2521" s="1" t="s">
        <v>2588</v>
      </c>
    </row>
    <row r="2522" spans="1:2">
      <c r="A2522" s="23">
        <v>107175</v>
      </c>
      <c r="B2522" s="1" t="s">
        <v>2589</v>
      </c>
    </row>
    <row r="2523" spans="1:2">
      <c r="A2523" s="23">
        <v>107176</v>
      </c>
      <c r="B2523" s="1" t="s">
        <v>2590</v>
      </c>
    </row>
    <row r="2524" spans="1:2">
      <c r="A2524" s="23">
        <v>107177</v>
      </c>
      <c r="B2524" s="1" t="s">
        <v>2591</v>
      </c>
    </row>
    <row r="2525" spans="1:2">
      <c r="A2525" s="23">
        <v>107178</v>
      </c>
      <c r="B2525" s="1" t="s">
        <v>2592</v>
      </c>
    </row>
    <row r="2526" spans="1:2">
      <c r="A2526" s="23">
        <v>107179</v>
      </c>
      <c r="B2526" s="1" t="s">
        <v>2593</v>
      </c>
    </row>
    <row r="2527" spans="1:2">
      <c r="A2527" s="23">
        <v>107180</v>
      </c>
      <c r="B2527" s="1" t="s">
        <v>2594</v>
      </c>
    </row>
    <row r="2528" spans="1:2">
      <c r="A2528" s="23">
        <v>107181</v>
      </c>
      <c r="B2528" s="1" t="s">
        <v>2595</v>
      </c>
    </row>
    <row r="2529" spans="1:2">
      <c r="A2529" s="23">
        <v>107182</v>
      </c>
      <c r="B2529" s="1" t="s">
        <v>2596</v>
      </c>
    </row>
    <row r="2530" spans="1:2">
      <c r="A2530" s="23">
        <v>107183</v>
      </c>
      <c r="B2530" s="1" t="s">
        <v>2597</v>
      </c>
    </row>
    <row r="2531" spans="1:2">
      <c r="A2531" s="23">
        <v>107184</v>
      </c>
      <c r="B2531" s="1" t="s">
        <v>2598</v>
      </c>
    </row>
    <row r="2532" spans="1:2">
      <c r="A2532" s="23">
        <v>107185</v>
      </c>
      <c r="B2532" s="1" t="s">
        <v>2599</v>
      </c>
    </row>
    <row r="2533" spans="1:2">
      <c r="A2533" s="23">
        <v>107186</v>
      </c>
      <c r="B2533" s="1" t="s">
        <v>2600</v>
      </c>
    </row>
    <row r="2534" spans="1:2">
      <c r="A2534" s="23">
        <v>107187</v>
      </c>
      <c r="B2534" s="1" t="s">
        <v>2601</v>
      </c>
    </row>
    <row r="2535" spans="1:2">
      <c r="A2535" s="23">
        <v>107188</v>
      </c>
      <c r="B2535" s="1" t="s">
        <v>2602</v>
      </c>
    </row>
    <row r="2536" spans="1:2">
      <c r="A2536" s="23">
        <v>107189</v>
      </c>
      <c r="B2536" s="1" t="s">
        <v>2603</v>
      </c>
    </row>
    <row r="2537" spans="1:2">
      <c r="A2537" s="23">
        <v>107190</v>
      </c>
      <c r="B2537" s="1" t="s">
        <v>2604</v>
      </c>
    </row>
    <row r="2538" spans="1:2">
      <c r="A2538" s="23">
        <v>107191</v>
      </c>
      <c r="B2538" s="1" t="s">
        <v>2605</v>
      </c>
    </row>
    <row r="2539" spans="1:2">
      <c r="A2539" s="23">
        <v>107192</v>
      </c>
      <c r="B2539" s="1" t="s">
        <v>2606</v>
      </c>
    </row>
    <row r="2540" spans="1:2">
      <c r="A2540" s="23">
        <v>107193</v>
      </c>
      <c r="B2540" s="1" t="s">
        <v>2607</v>
      </c>
    </row>
    <row r="2541" spans="1:2">
      <c r="A2541" s="23">
        <v>107194</v>
      </c>
      <c r="B2541" s="1" t="s">
        <v>2608</v>
      </c>
    </row>
    <row r="2542" spans="1:2">
      <c r="A2542" s="23">
        <v>107195</v>
      </c>
      <c r="B2542" s="1" t="s">
        <v>2609</v>
      </c>
    </row>
    <row r="2543" spans="1:2">
      <c r="A2543" s="23">
        <v>107196</v>
      </c>
      <c r="B2543" s="1" t="s">
        <v>2610</v>
      </c>
    </row>
    <row r="2544" spans="1:2">
      <c r="A2544" s="23">
        <v>107197</v>
      </c>
      <c r="B2544" s="1" t="s">
        <v>2611</v>
      </c>
    </row>
    <row r="2545" spans="1:2">
      <c r="A2545" s="23">
        <v>107198</v>
      </c>
      <c r="B2545" s="1" t="s">
        <v>2612</v>
      </c>
    </row>
    <row r="2546" spans="1:2">
      <c r="A2546" s="23">
        <v>107199</v>
      </c>
      <c r="B2546" s="1" t="s">
        <v>2613</v>
      </c>
    </row>
    <row r="2547" spans="1:2">
      <c r="A2547" s="23">
        <v>107200</v>
      </c>
      <c r="B2547" s="1" t="s">
        <v>2614</v>
      </c>
    </row>
    <row r="2548" spans="1:2">
      <c r="A2548" s="23">
        <v>107201</v>
      </c>
      <c r="B2548" s="1" t="s">
        <v>2615</v>
      </c>
    </row>
    <row r="2549" spans="1:2">
      <c r="A2549" s="23">
        <v>107202</v>
      </c>
      <c r="B2549" s="1" t="s">
        <v>2616</v>
      </c>
    </row>
    <row r="2550" spans="1:2">
      <c r="A2550" s="23">
        <v>107203</v>
      </c>
      <c r="B2550" s="1" t="s">
        <v>2617</v>
      </c>
    </row>
    <row r="2551" spans="1:2">
      <c r="A2551" s="23">
        <v>107204</v>
      </c>
      <c r="B2551" s="1" t="s">
        <v>2618</v>
      </c>
    </row>
    <row r="2552" spans="1:2">
      <c r="A2552" s="23">
        <v>107205</v>
      </c>
      <c r="B2552" s="1" t="s">
        <v>2619</v>
      </c>
    </row>
    <row r="2553" spans="1:2">
      <c r="A2553" s="23">
        <v>107206</v>
      </c>
      <c r="B2553" s="1" t="s">
        <v>2620</v>
      </c>
    </row>
    <row r="2554" spans="1:2">
      <c r="A2554" s="23">
        <v>107207</v>
      </c>
      <c r="B2554" s="1" t="s">
        <v>2621</v>
      </c>
    </row>
    <row r="2555" spans="1:2">
      <c r="A2555" s="23">
        <v>107208</v>
      </c>
      <c r="B2555" s="1" t="s">
        <v>2622</v>
      </c>
    </row>
    <row r="2556" spans="1:2">
      <c r="A2556" s="23">
        <v>107209</v>
      </c>
      <c r="B2556" s="1" t="s">
        <v>2623</v>
      </c>
    </row>
    <row r="2557" spans="1:2">
      <c r="A2557" s="23">
        <v>107210</v>
      </c>
      <c r="B2557" s="1" t="s">
        <v>2624</v>
      </c>
    </row>
    <row r="2558" spans="1:2">
      <c r="A2558" s="23">
        <v>107211</v>
      </c>
      <c r="B2558" s="1" t="s">
        <v>2625</v>
      </c>
    </row>
    <row r="2559" spans="1:2">
      <c r="A2559" s="23">
        <v>107212</v>
      </c>
      <c r="B2559" s="1" t="s">
        <v>2626</v>
      </c>
    </row>
    <row r="2560" spans="1:2">
      <c r="A2560" s="23">
        <v>107213</v>
      </c>
      <c r="B2560" s="1" t="s">
        <v>2627</v>
      </c>
    </row>
    <row r="2561" spans="1:2">
      <c r="A2561" s="23">
        <v>107214</v>
      </c>
      <c r="B2561" s="1" t="s">
        <v>2628</v>
      </c>
    </row>
    <row r="2562" spans="1:2">
      <c r="A2562" s="23">
        <v>107215</v>
      </c>
      <c r="B2562" s="1" t="s">
        <v>2629</v>
      </c>
    </row>
    <row r="2563" spans="1:2">
      <c r="A2563" s="23">
        <v>107216</v>
      </c>
      <c r="B2563" s="1" t="s">
        <v>2630</v>
      </c>
    </row>
    <row r="2564" spans="1:2">
      <c r="A2564" s="23">
        <v>107217</v>
      </c>
      <c r="B2564" s="1" t="s">
        <v>2631</v>
      </c>
    </row>
    <row r="2565" spans="1:2">
      <c r="A2565" s="23">
        <v>107218</v>
      </c>
      <c r="B2565" s="1" t="s">
        <v>2632</v>
      </c>
    </row>
    <row r="2566" spans="1:2">
      <c r="A2566" s="23">
        <v>107219</v>
      </c>
      <c r="B2566" s="1" t="s">
        <v>2633</v>
      </c>
    </row>
    <row r="2567" spans="1:2">
      <c r="A2567" s="23">
        <v>107220</v>
      </c>
      <c r="B2567" s="1" t="s">
        <v>2634</v>
      </c>
    </row>
    <row r="2568" spans="1:2">
      <c r="A2568" s="23">
        <v>107221</v>
      </c>
      <c r="B2568" s="1" t="s">
        <v>2635</v>
      </c>
    </row>
    <row r="2569" spans="1:2">
      <c r="A2569" s="23">
        <v>107222</v>
      </c>
      <c r="B2569" s="1" t="s">
        <v>2636</v>
      </c>
    </row>
    <row r="2570" spans="1:2">
      <c r="A2570" s="23">
        <v>107223</v>
      </c>
      <c r="B2570" s="1" t="s">
        <v>2637</v>
      </c>
    </row>
    <row r="2571" spans="1:2">
      <c r="A2571" s="23">
        <v>107224</v>
      </c>
      <c r="B2571" s="1" t="s">
        <v>2638</v>
      </c>
    </row>
    <row r="2572" spans="1:2">
      <c r="A2572" s="23">
        <v>107225</v>
      </c>
      <c r="B2572" s="1" t="s">
        <v>2639</v>
      </c>
    </row>
    <row r="2573" spans="1:2">
      <c r="A2573" s="23">
        <v>107226</v>
      </c>
      <c r="B2573" s="1" t="s">
        <v>2640</v>
      </c>
    </row>
    <row r="2574" spans="1:2">
      <c r="A2574" s="23">
        <v>107227</v>
      </c>
      <c r="B2574" s="1" t="s">
        <v>2641</v>
      </c>
    </row>
    <row r="2575" spans="1:2">
      <c r="A2575" s="23">
        <v>107228</v>
      </c>
      <c r="B2575" s="1" t="s">
        <v>2642</v>
      </c>
    </row>
    <row r="2576" spans="1:2">
      <c r="A2576" s="23">
        <v>107229</v>
      </c>
      <c r="B2576" s="1" t="s">
        <v>2643</v>
      </c>
    </row>
    <row r="2577" spans="1:2">
      <c r="A2577" s="23">
        <v>107230</v>
      </c>
      <c r="B2577" s="1" t="s">
        <v>2644</v>
      </c>
    </row>
    <row r="2578" spans="1:2">
      <c r="A2578" s="23">
        <v>107231</v>
      </c>
      <c r="B2578" s="1" t="s">
        <v>2645</v>
      </c>
    </row>
    <row r="2579" spans="1:2">
      <c r="A2579" s="23">
        <v>107232</v>
      </c>
      <c r="B2579" s="1" t="s">
        <v>2646</v>
      </c>
    </row>
    <row r="2580" spans="1:2">
      <c r="A2580" s="23">
        <v>107233</v>
      </c>
      <c r="B2580" s="1" t="s">
        <v>2647</v>
      </c>
    </row>
    <row r="2581" spans="1:2">
      <c r="A2581" s="23">
        <v>107234</v>
      </c>
      <c r="B2581" s="1" t="s">
        <v>2648</v>
      </c>
    </row>
    <row r="2582" spans="1:2">
      <c r="A2582" s="23">
        <v>107235</v>
      </c>
      <c r="B2582" s="1" t="s">
        <v>2649</v>
      </c>
    </row>
    <row r="2583" spans="1:2">
      <c r="A2583" s="23">
        <v>107236</v>
      </c>
      <c r="B2583" s="1" t="s">
        <v>2650</v>
      </c>
    </row>
    <row r="2584" spans="1:2">
      <c r="A2584" s="23">
        <v>107237</v>
      </c>
      <c r="B2584" s="1" t="s">
        <v>2651</v>
      </c>
    </row>
    <row r="2585" spans="1:2">
      <c r="A2585" s="23">
        <v>107238</v>
      </c>
      <c r="B2585" s="1" t="s">
        <v>2652</v>
      </c>
    </row>
    <row r="2586" spans="1:2">
      <c r="A2586" s="23">
        <v>107239</v>
      </c>
      <c r="B2586" s="1" t="s">
        <v>2653</v>
      </c>
    </row>
    <row r="2587" spans="1:2">
      <c r="A2587" s="23">
        <v>107240</v>
      </c>
      <c r="B2587" s="1" t="s">
        <v>2654</v>
      </c>
    </row>
    <row r="2588" spans="1:2">
      <c r="A2588" s="23">
        <v>107241</v>
      </c>
      <c r="B2588" s="1" t="s">
        <v>2655</v>
      </c>
    </row>
    <row r="2589" spans="1:2">
      <c r="A2589" s="23">
        <v>107242</v>
      </c>
      <c r="B2589" s="1" t="s">
        <v>2656</v>
      </c>
    </row>
    <row r="2590" spans="1:2">
      <c r="A2590" s="23">
        <v>107243</v>
      </c>
      <c r="B2590" s="1" t="s">
        <v>2657</v>
      </c>
    </row>
    <row r="2591" spans="1:2">
      <c r="A2591" s="23">
        <v>107244</v>
      </c>
      <c r="B2591" s="1" t="s">
        <v>2658</v>
      </c>
    </row>
    <row r="2592" spans="1:2">
      <c r="A2592" s="23">
        <v>107245</v>
      </c>
      <c r="B2592" s="1" t="s">
        <v>2659</v>
      </c>
    </row>
    <row r="2593" spans="1:2">
      <c r="A2593" s="23">
        <v>107246</v>
      </c>
      <c r="B2593" s="1" t="s">
        <v>2660</v>
      </c>
    </row>
    <row r="2594" spans="1:2">
      <c r="A2594" s="23">
        <v>107247</v>
      </c>
      <c r="B2594" s="1" t="s">
        <v>2661</v>
      </c>
    </row>
    <row r="2595" spans="1:2">
      <c r="A2595" s="23">
        <v>107248</v>
      </c>
      <c r="B2595" s="1" t="s">
        <v>2662</v>
      </c>
    </row>
    <row r="2596" spans="1:2">
      <c r="A2596" s="23">
        <v>107249</v>
      </c>
      <c r="B2596" s="1" t="s">
        <v>2663</v>
      </c>
    </row>
    <row r="2597" spans="1:2">
      <c r="A2597" s="23">
        <v>107250</v>
      </c>
      <c r="B2597" s="1" t="s">
        <v>2664</v>
      </c>
    </row>
    <row r="2598" spans="1:2">
      <c r="A2598" s="23">
        <v>107251</v>
      </c>
      <c r="B2598" s="1" t="s">
        <v>2665</v>
      </c>
    </row>
    <row r="2599" spans="1:2">
      <c r="A2599" s="23">
        <v>107252</v>
      </c>
      <c r="B2599" s="1" t="s">
        <v>2666</v>
      </c>
    </row>
    <row r="2600" spans="1:2">
      <c r="A2600" s="23">
        <v>107253</v>
      </c>
      <c r="B2600" s="1" t="s">
        <v>2667</v>
      </c>
    </row>
    <row r="2601" spans="1:2">
      <c r="A2601" s="23">
        <v>107254</v>
      </c>
      <c r="B2601" s="1" t="s">
        <v>2668</v>
      </c>
    </row>
    <row r="2602" spans="1:2">
      <c r="A2602" s="23">
        <v>107255</v>
      </c>
      <c r="B2602" s="1" t="s">
        <v>2669</v>
      </c>
    </row>
    <row r="2603" spans="1:2">
      <c r="A2603" s="23">
        <v>107256</v>
      </c>
      <c r="B2603" s="1" t="s">
        <v>2670</v>
      </c>
    </row>
    <row r="2604" spans="1:2">
      <c r="A2604" s="23">
        <v>107257</v>
      </c>
      <c r="B2604" s="1" t="s">
        <v>2671</v>
      </c>
    </row>
    <row r="2605" spans="1:2">
      <c r="A2605" s="23">
        <v>107258</v>
      </c>
      <c r="B2605" s="1" t="s">
        <v>2672</v>
      </c>
    </row>
    <row r="2606" spans="1:2">
      <c r="A2606" s="23">
        <v>107259</v>
      </c>
      <c r="B2606" s="1" t="s">
        <v>2673</v>
      </c>
    </row>
    <row r="2607" spans="1:2">
      <c r="A2607" s="23">
        <v>107260</v>
      </c>
      <c r="B2607" s="1" t="s">
        <v>2674</v>
      </c>
    </row>
    <row r="2608" spans="1:2">
      <c r="A2608" s="23">
        <v>107261</v>
      </c>
      <c r="B2608" s="1" t="s">
        <v>2675</v>
      </c>
    </row>
    <row r="2609" spans="1:2">
      <c r="A2609" s="23">
        <v>107262</v>
      </c>
      <c r="B2609" s="1" t="s">
        <v>2676</v>
      </c>
    </row>
    <row r="2610" spans="1:2">
      <c r="A2610" s="23">
        <v>107263</v>
      </c>
      <c r="B2610" s="1" t="s">
        <v>2677</v>
      </c>
    </row>
    <row r="2611" spans="1:2">
      <c r="A2611" s="23">
        <v>107264</v>
      </c>
      <c r="B2611" s="1" t="s">
        <v>2678</v>
      </c>
    </row>
    <row r="2612" spans="1:2">
      <c r="A2612" s="23">
        <v>107265</v>
      </c>
      <c r="B2612" s="1" t="s">
        <v>2679</v>
      </c>
    </row>
    <row r="2613" spans="1:2">
      <c r="A2613" s="23">
        <v>107266</v>
      </c>
      <c r="B2613" s="1" t="s">
        <v>2680</v>
      </c>
    </row>
    <row r="2614" spans="1:2">
      <c r="A2614" s="23">
        <v>107267</v>
      </c>
      <c r="B2614" s="1" t="s">
        <v>2681</v>
      </c>
    </row>
    <row r="2615" spans="1:2">
      <c r="A2615" s="23">
        <v>107268</v>
      </c>
      <c r="B2615" s="1" t="s">
        <v>2682</v>
      </c>
    </row>
    <row r="2616" spans="1:2">
      <c r="A2616" s="23">
        <v>107269</v>
      </c>
      <c r="B2616" s="1" t="s">
        <v>2683</v>
      </c>
    </row>
    <row r="2617" spans="1:2">
      <c r="A2617" s="23">
        <v>107270</v>
      </c>
      <c r="B2617" s="1" t="s">
        <v>2684</v>
      </c>
    </row>
    <row r="2618" spans="1:2">
      <c r="A2618" s="23">
        <v>107271</v>
      </c>
      <c r="B2618" s="1" t="s">
        <v>2685</v>
      </c>
    </row>
    <row r="2619" spans="1:2">
      <c r="A2619" s="23">
        <v>107272</v>
      </c>
      <c r="B2619" s="1" t="s">
        <v>2686</v>
      </c>
    </row>
    <row r="2620" spans="1:2">
      <c r="A2620" s="23">
        <v>107273</v>
      </c>
      <c r="B2620" s="1" t="s">
        <v>2687</v>
      </c>
    </row>
    <row r="2621" spans="1:2">
      <c r="A2621" s="23">
        <v>107274</v>
      </c>
      <c r="B2621" s="1" t="s">
        <v>2688</v>
      </c>
    </row>
    <row r="2622" spans="1:2">
      <c r="A2622" s="23">
        <v>107275</v>
      </c>
      <c r="B2622" s="1" t="s">
        <v>2689</v>
      </c>
    </row>
    <row r="2623" spans="1:2">
      <c r="A2623" s="23">
        <v>107276</v>
      </c>
      <c r="B2623" s="1" t="s">
        <v>2690</v>
      </c>
    </row>
    <row r="2624" spans="1:2">
      <c r="A2624" s="23">
        <v>107277</v>
      </c>
      <c r="B2624" s="1" t="s">
        <v>2691</v>
      </c>
    </row>
    <row r="2625" spans="1:2">
      <c r="A2625" s="23">
        <v>107278</v>
      </c>
      <c r="B2625" s="1" t="s">
        <v>2692</v>
      </c>
    </row>
    <row r="2626" spans="1:2">
      <c r="A2626" s="23">
        <v>107279</v>
      </c>
      <c r="B2626" s="1" t="s">
        <v>2693</v>
      </c>
    </row>
    <row r="2627" spans="1:2">
      <c r="A2627" s="23">
        <v>107280</v>
      </c>
      <c r="B2627" s="1" t="s">
        <v>2694</v>
      </c>
    </row>
    <row r="2628" spans="1:2">
      <c r="A2628" s="23">
        <v>107281</v>
      </c>
      <c r="B2628" s="1" t="s">
        <v>2695</v>
      </c>
    </row>
    <row r="2629" spans="1:2">
      <c r="A2629" s="23">
        <v>107282</v>
      </c>
      <c r="B2629" s="1" t="s">
        <v>2696</v>
      </c>
    </row>
    <row r="2630" spans="1:2">
      <c r="A2630" s="23">
        <v>107283</v>
      </c>
      <c r="B2630" s="1" t="s">
        <v>2697</v>
      </c>
    </row>
    <row r="2631" spans="1:2">
      <c r="A2631" s="23">
        <v>107284</v>
      </c>
      <c r="B2631" s="1" t="s">
        <v>2698</v>
      </c>
    </row>
    <row r="2632" spans="1:2">
      <c r="A2632" s="23">
        <v>107285</v>
      </c>
      <c r="B2632" s="1" t="s">
        <v>2699</v>
      </c>
    </row>
    <row r="2633" spans="1:2">
      <c r="A2633" s="23">
        <v>107286</v>
      </c>
      <c r="B2633" s="1" t="s">
        <v>2700</v>
      </c>
    </row>
    <row r="2634" spans="1:2">
      <c r="A2634" s="23">
        <v>107287</v>
      </c>
      <c r="B2634" s="1" t="s">
        <v>2701</v>
      </c>
    </row>
    <row r="2635" spans="1:2">
      <c r="A2635" s="23">
        <v>107288</v>
      </c>
      <c r="B2635" s="1" t="s">
        <v>2702</v>
      </c>
    </row>
    <row r="2636" spans="1:2">
      <c r="A2636" s="23">
        <v>107289</v>
      </c>
      <c r="B2636" s="1" t="s">
        <v>2703</v>
      </c>
    </row>
    <row r="2637" spans="1:2">
      <c r="A2637" s="23">
        <v>107290</v>
      </c>
      <c r="B2637" s="1" t="s">
        <v>2704</v>
      </c>
    </row>
    <row r="2638" spans="1:2">
      <c r="A2638" s="23">
        <v>107291</v>
      </c>
      <c r="B2638" s="1" t="s">
        <v>2705</v>
      </c>
    </row>
    <row r="2639" spans="1:2">
      <c r="A2639" s="23">
        <v>107292</v>
      </c>
      <c r="B2639" s="1" t="s">
        <v>2706</v>
      </c>
    </row>
    <row r="2640" spans="1:2">
      <c r="A2640" s="23">
        <v>107293</v>
      </c>
      <c r="B2640" s="1" t="s">
        <v>2707</v>
      </c>
    </row>
    <row r="2641" spans="1:2">
      <c r="A2641" s="23">
        <v>107294</v>
      </c>
      <c r="B2641" s="1" t="s">
        <v>2708</v>
      </c>
    </row>
    <row r="2642" spans="1:2">
      <c r="A2642" s="23">
        <v>107295</v>
      </c>
      <c r="B2642" s="1" t="s">
        <v>2709</v>
      </c>
    </row>
    <row r="2643" spans="1:2">
      <c r="A2643" s="23">
        <v>107296</v>
      </c>
      <c r="B2643" s="1" t="s">
        <v>2710</v>
      </c>
    </row>
    <row r="2644" spans="1:2">
      <c r="A2644" s="23">
        <v>107297</v>
      </c>
      <c r="B2644" s="1" t="s">
        <v>2711</v>
      </c>
    </row>
    <row r="2645" spans="1:2">
      <c r="A2645" s="23">
        <v>107298</v>
      </c>
      <c r="B2645" s="1" t="s">
        <v>2712</v>
      </c>
    </row>
    <row r="2646" spans="1:2">
      <c r="A2646" s="23">
        <v>107299</v>
      </c>
      <c r="B2646" s="1" t="s">
        <v>2713</v>
      </c>
    </row>
    <row r="2647" spans="1:2">
      <c r="A2647" s="23">
        <v>107300</v>
      </c>
      <c r="B2647" s="1" t="s">
        <v>2714</v>
      </c>
    </row>
    <row r="2648" spans="1:2">
      <c r="A2648" s="23">
        <v>107301</v>
      </c>
      <c r="B2648" s="1" t="s">
        <v>2715</v>
      </c>
    </row>
    <row r="2649" spans="1:2">
      <c r="A2649" s="23">
        <v>107302</v>
      </c>
      <c r="B2649" s="1" t="s">
        <v>2716</v>
      </c>
    </row>
    <row r="2650" spans="1:2">
      <c r="A2650" s="23">
        <v>107303</v>
      </c>
      <c r="B2650" s="1" t="s">
        <v>2717</v>
      </c>
    </row>
    <row r="2651" spans="1:2">
      <c r="A2651" s="23">
        <v>107304</v>
      </c>
      <c r="B2651" s="1" t="s">
        <v>2718</v>
      </c>
    </row>
    <row r="2652" spans="1:2">
      <c r="A2652" s="23">
        <v>107305</v>
      </c>
      <c r="B2652" s="1" t="s">
        <v>2719</v>
      </c>
    </row>
    <row r="2653" spans="1:2">
      <c r="A2653" s="23">
        <v>107306</v>
      </c>
      <c r="B2653" s="1" t="s">
        <v>2720</v>
      </c>
    </row>
    <row r="2654" spans="1:2">
      <c r="A2654" s="23">
        <v>107307</v>
      </c>
      <c r="B2654" s="1" t="s">
        <v>2721</v>
      </c>
    </row>
    <row r="2655" spans="1:2">
      <c r="A2655" s="23">
        <v>107308</v>
      </c>
      <c r="B2655" s="1" t="s">
        <v>2722</v>
      </c>
    </row>
    <row r="2656" spans="1:2">
      <c r="A2656" s="23">
        <v>107309</v>
      </c>
      <c r="B2656" s="1" t="s">
        <v>2723</v>
      </c>
    </row>
    <row r="2657" spans="1:2">
      <c r="A2657" s="23">
        <v>107310</v>
      </c>
      <c r="B2657" s="1" t="s">
        <v>2724</v>
      </c>
    </row>
    <row r="2658" spans="1:2">
      <c r="A2658" s="23">
        <v>107311</v>
      </c>
      <c r="B2658" s="1" t="s">
        <v>2725</v>
      </c>
    </row>
    <row r="2659" spans="1:2">
      <c r="A2659" s="23">
        <v>107312</v>
      </c>
      <c r="B2659" s="1" t="s">
        <v>2726</v>
      </c>
    </row>
    <row r="2660" spans="1:2">
      <c r="A2660" s="23">
        <v>107313</v>
      </c>
      <c r="B2660" s="1" t="s">
        <v>2727</v>
      </c>
    </row>
    <row r="2661" spans="1:2">
      <c r="A2661" s="23">
        <v>107314</v>
      </c>
      <c r="B2661" s="1" t="s">
        <v>2728</v>
      </c>
    </row>
    <row r="2662" spans="1:2">
      <c r="A2662" s="23">
        <v>107315</v>
      </c>
      <c r="B2662" s="1" t="s">
        <v>2729</v>
      </c>
    </row>
    <row r="2663" spans="1:2">
      <c r="A2663" s="23">
        <v>107316</v>
      </c>
      <c r="B2663" s="1" t="s">
        <v>2730</v>
      </c>
    </row>
    <row r="2664" spans="1:2">
      <c r="A2664" s="23">
        <v>107317</v>
      </c>
      <c r="B2664" s="1" t="s">
        <v>2731</v>
      </c>
    </row>
    <row r="2665" spans="1:2">
      <c r="A2665" s="23">
        <v>107318</v>
      </c>
      <c r="B2665" s="1" t="s">
        <v>2732</v>
      </c>
    </row>
    <row r="2666" spans="1:2">
      <c r="A2666" s="23">
        <v>107319</v>
      </c>
      <c r="B2666" s="1" t="s">
        <v>2733</v>
      </c>
    </row>
    <row r="2667" spans="1:2">
      <c r="A2667" s="23">
        <v>107320</v>
      </c>
      <c r="B2667" s="1" t="s">
        <v>2734</v>
      </c>
    </row>
    <row r="2668" spans="1:2">
      <c r="A2668" s="23">
        <v>107321</v>
      </c>
      <c r="B2668" s="1" t="s">
        <v>2735</v>
      </c>
    </row>
    <row r="2669" spans="1:2">
      <c r="A2669" s="23">
        <v>107322</v>
      </c>
      <c r="B2669" s="1" t="s">
        <v>2736</v>
      </c>
    </row>
    <row r="2670" spans="1:2">
      <c r="A2670" s="23">
        <v>107323</v>
      </c>
      <c r="B2670" s="1" t="s">
        <v>2737</v>
      </c>
    </row>
    <row r="2671" spans="1:2">
      <c r="A2671" s="23">
        <v>107324</v>
      </c>
      <c r="B2671" s="1" t="s">
        <v>2738</v>
      </c>
    </row>
    <row r="2672" spans="1:2">
      <c r="A2672" s="23">
        <v>107325</v>
      </c>
      <c r="B2672" s="1" t="s">
        <v>2739</v>
      </c>
    </row>
    <row r="2673" spans="1:2">
      <c r="A2673" s="23">
        <v>107326</v>
      </c>
      <c r="B2673" s="1" t="s">
        <v>2740</v>
      </c>
    </row>
    <row r="2674" spans="1:2">
      <c r="A2674" s="23">
        <v>107327</v>
      </c>
      <c r="B2674" s="1" t="s">
        <v>2741</v>
      </c>
    </row>
    <row r="2675" spans="1:2">
      <c r="A2675" s="23">
        <v>107328</v>
      </c>
      <c r="B2675" s="1" t="s">
        <v>2742</v>
      </c>
    </row>
    <row r="2676" spans="1:2">
      <c r="A2676" s="23">
        <v>107329</v>
      </c>
      <c r="B2676" s="1" t="s">
        <v>2743</v>
      </c>
    </row>
    <row r="2677" spans="1:2">
      <c r="A2677" s="23">
        <v>107330</v>
      </c>
      <c r="B2677" s="1" t="s">
        <v>2744</v>
      </c>
    </row>
    <row r="2678" spans="1:2">
      <c r="A2678" s="23">
        <v>107331</v>
      </c>
      <c r="B2678" s="1" t="s">
        <v>2745</v>
      </c>
    </row>
    <row r="2679" spans="1:2">
      <c r="A2679" s="23">
        <v>107332</v>
      </c>
      <c r="B2679" s="1" t="s">
        <v>2746</v>
      </c>
    </row>
    <row r="2680" spans="1:2">
      <c r="A2680" s="23">
        <v>107333</v>
      </c>
      <c r="B2680" s="1" t="s">
        <v>2747</v>
      </c>
    </row>
    <row r="2681" spans="1:2">
      <c r="A2681" s="23">
        <v>107334</v>
      </c>
      <c r="B2681" s="1" t="s">
        <v>2748</v>
      </c>
    </row>
    <row r="2682" spans="1:2">
      <c r="A2682" s="23">
        <v>107335</v>
      </c>
      <c r="B2682" s="1" t="s">
        <v>2749</v>
      </c>
    </row>
    <row r="2683" spans="1:2">
      <c r="A2683" s="23">
        <v>107336</v>
      </c>
      <c r="B2683" s="1" t="s">
        <v>2750</v>
      </c>
    </row>
    <row r="2684" spans="1:2">
      <c r="A2684" s="23">
        <v>107337</v>
      </c>
      <c r="B2684" s="1" t="s">
        <v>2751</v>
      </c>
    </row>
    <row r="2685" spans="1:2">
      <c r="A2685" s="23">
        <v>107338</v>
      </c>
      <c r="B2685" s="1" t="s">
        <v>2752</v>
      </c>
    </row>
    <row r="2686" spans="1:2">
      <c r="A2686" s="23">
        <v>107339</v>
      </c>
      <c r="B2686" s="1" t="s">
        <v>2753</v>
      </c>
    </row>
    <row r="2687" spans="1:2">
      <c r="A2687" s="23">
        <v>107340</v>
      </c>
      <c r="B2687" s="1" t="s">
        <v>2754</v>
      </c>
    </row>
    <row r="2688" spans="1:2">
      <c r="A2688" s="23">
        <v>107341</v>
      </c>
      <c r="B2688" s="1" t="s">
        <v>2755</v>
      </c>
    </row>
    <row r="2689" spans="1:2">
      <c r="A2689" s="23">
        <v>107342</v>
      </c>
      <c r="B2689" s="1" t="s">
        <v>2756</v>
      </c>
    </row>
    <row r="2690" spans="1:2">
      <c r="A2690" s="23">
        <v>107343</v>
      </c>
      <c r="B2690" s="1" t="s">
        <v>2757</v>
      </c>
    </row>
    <row r="2691" spans="1:2">
      <c r="A2691" s="23">
        <v>107344</v>
      </c>
      <c r="B2691" s="1" t="s">
        <v>2758</v>
      </c>
    </row>
    <row r="2692" spans="1:2">
      <c r="A2692" s="23">
        <v>107345</v>
      </c>
      <c r="B2692" s="1" t="s">
        <v>2759</v>
      </c>
    </row>
    <row r="2693" spans="1:2">
      <c r="A2693" s="23">
        <v>107346</v>
      </c>
      <c r="B2693" s="1" t="s">
        <v>2760</v>
      </c>
    </row>
    <row r="2694" spans="1:2">
      <c r="A2694" s="23">
        <v>107347</v>
      </c>
      <c r="B2694" s="1" t="s">
        <v>2761</v>
      </c>
    </row>
    <row r="2695" spans="1:2">
      <c r="A2695" s="23">
        <v>107348</v>
      </c>
      <c r="B2695" s="1" t="s">
        <v>2762</v>
      </c>
    </row>
    <row r="2696" spans="1:2">
      <c r="A2696" s="23">
        <v>107349</v>
      </c>
      <c r="B2696" s="1" t="s">
        <v>2763</v>
      </c>
    </row>
    <row r="2697" spans="1:2">
      <c r="A2697" s="23">
        <v>107350</v>
      </c>
      <c r="B2697" s="1" t="s">
        <v>2764</v>
      </c>
    </row>
    <row r="2698" spans="1:2">
      <c r="A2698" s="23">
        <v>107351</v>
      </c>
      <c r="B2698" s="1" t="s">
        <v>2765</v>
      </c>
    </row>
    <row r="2699" spans="1:2">
      <c r="A2699" s="23">
        <v>107352</v>
      </c>
      <c r="B2699" s="1" t="s">
        <v>2766</v>
      </c>
    </row>
    <row r="2700" spans="1:2">
      <c r="A2700" s="23">
        <v>107353</v>
      </c>
      <c r="B2700" s="1" t="s">
        <v>2767</v>
      </c>
    </row>
    <row r="2701" spans="1:2">
      <c r="A2701" s="23">
        <v>107354</v>
      </c>
      <c r="B2701" s="1" t="s">
        <v>2768</v>
      </c>
    </row>
    <row r="2702" spans="1:2">
      <c r="A2702" s="23">
        <v>107355</v>
      </c>
      <c r="B2702" s="1" t="s">
        <v>2769</v>
      </c>
    </row>
    <row r="2703" spans="1:2">
      <c r="A2703" s="23">
        <v>107455</v>
      </c>
      <c r="B2703" s="1" t="s">
        <v>2770</v>
      </c>
    </row>
    <row r="2704" spans="1:2">
      <c r="A2704" s="23">
        <v>107456</v>
      </c>
      <c r="B2704" s="1" t="s">
        <v>2771</v>
      </c>
    </row>
    <row r="2705" spans="1:2">
      <c r="A2705" s="23">
        <v>107457</v>
      </c>
      <c r="B2705" s="1" t="s">
        <v>2772</v>
      </c>
    </row>
    <row r="2706" spans="1:2">
      <c r="A2706" s="23">
        <v>107458</v>
      </c>
      <c r="B2706" s="1" t="s">
        <v>2773</v>
      </c>
    </row>
    <row r="2707" spans="1:2">
      <c r="A2707" s="23">
        <v>107459</v>
      </c>
      <c r="B2707" s="1" t="s">
        <v>2774</v>
      </c>
    </row>
    <row r="2708" spans="1:2">
      <c r="A2708" s="23">
        <v>107460</v>
      </c>
      <c r="B2708" s="1" t="s">
        <v>2775</v>
      </c>
    </row>
    <row r="2709" spans="1:2">
      <c r="A2709" s="23">
        <v>107461</v>
      </c>
      <c r="B2709" s="1" t="s">
        <v>2776</v>
      </c>
    </row>
    <row r="2710" spans="1:2">
      <c r="A2710" s="23">
        <v>107462</v>
      </c>
      <c r="B2710" s="1" t="s">
        <v>2777</v>
      </c>
    </row>
    <row r="2711" spans="1:2">
      <c r="A2711" s="23">
        <v>107463</v>
      </c>
      <c r="B2711" s="1" t="s">
        <v>2778</v>
      </c>
    </row>
    <row r="2712" spans="1:2">
      <c r="A2712" s="23">
        <v>107464</v>
      </c>
      <c r="B2712" s="1" t="s">
        <v>2779</v>
      </c>
    </row>
    <row r="2713" spans="1:2">
      <c r="A2713" s="23">
        <v>107465</v>
      </c>
      <c r="B2713" s="1" t="s">
        <v>2780</v>
      </c>
    </row>
    <row r="2714" spans="1:2">
      <c r="A2714" s="23">
        <v>107466</v>
      </c>
      <c r="B2714" s="1" t="s">
        <v>2781</v>
      </c>
    </row>
    <row r="2715" spans="1:2">
      <c r="A2715" s="23">
        <v>107467</v>
      </c>
      <c r="B2715" s="1" t="s">
        <v>2782</v>
      </c>
    </row>
    <row r="2716" spans="1:2">
      <c r="A2716" s="23">
        <v>107468</v>
      </c>
      <c r="B2716" s="1" t="s">
        <v>2783</v>
      </c>
    </row>
    <row r="2717" spans="1:2">
      <c r="A2717" s="23">
        <v>107469</v>
      </c>
      <c r="B2717" s="1" t="s">
        <v>2784</v>
      </c>
    </row>
    <row r="2718" spans="1:2">
      <c r="A2718" s="23">
        <v>107470</v>
      </c>
      <c r="B2718" s="1" t="s">
        <v>2785</v>
      </c>
    </row>
    <row r="2719" spans="1:2">
      <c r="A2719" s="23">
        <v>107471</v>
      </c>
      <c r="B2719" s="1" t="s">
        <v>2786</v>
      </c>
    </row>
    <row r="2720" spans="1:2">
      <c r="A2720" s="23">
        <v>107472</v>
      </c>
      <c r="B2720" s="1" t="s">
        <v>2787</v>
      </c>
    </row>
    <row r="2721" spans="1:2">
      <c r="A2721" s="23">
        <v>107473</v>
      </c>
      <c r="B2721" s="1" t="s">
        <v>2788</v>
      </c>
    </row>
    <row r="2722" spans="1:2">
      <c r="A2722" s="23">
        <v>107474</v>
      </c>
      <c r="B2722" s="1" t="s">
        <v>2789</v>
      </c>
    </row>
    <row r="2723" spans="1:2">
      <c r="A2723" s="23">
        <v>107475</v>
      </c>
      <c r="B2723" s="1" t="s">
        <v>2790</v>
      </c>
    </row>
    <row r="2724" spans="1:2">
      <c r="A2724" s="23">
        <v>107476</v>
      </c>
      <c r="B2724" s="1" t="s">
        <v>2791</v>
      </c>
    </row>
    <row r="2725" spans="1:2">
      <c r="A2725" s="23">
        <v>107477</v>
      </c>
      <c r="B2725" s="1" t="s">
        <v>2792</v>
      </c>
    </row>
    <row r="2726" spans="1:2">
      <c r="A2726" s="23">
        <v>107478</v>
      </c>
      <c r="B2726" s="1" t="s">
        <v>2793</v>
      </c>
    </row>
    <row r="2727" spans="1:2">
      <c r="A2727" s="23">
        <v>107479</v>
      </c>
      <c r="B2727" s="1" t="s">
        <v>2794</v>
      </c>
    </row>
    <row r="2728" spans="1:2">
      <c r="A2728" s="23">
        <v>107480</v>
      </c>
      <c r="B2728" s="1" t="s">
        <v>2795</v>
      </c>
    </row>
    <row r="2729" spans="1:2">
      <c r="A2729" s="23">
        <v>107481</v>
      </c>
      <c r="B2729" s="1" t="s">
        <v>2796</v>
      </c>
    </row>
    <row r="2730" spans="1:2">
      <c r="A2730" s="23">
        <v>107482</v>
      </c>
      <c r="B2730" s="1" t="s">
        <v>2797</v>
      </c>
    </row>
    <row r="2731" spans="1:2">
      <c r="A2731" s="23">
        <v>107483</v>
      </c>
      <c r="B2731" s="1" t="s">
        <v>2798</v>
      </c>
    </row>
    <row r="2732" spans="1:2">
      <c r="A2732" s="23">
        <v>107484</v>
      </c>
      <c r="B2732" s="1" t="s">
        <v>2799</v>
      </c>
    </row>
    <row r="2733" spans="1:2">
      <c r="A2733" s="23">
        <v>107485</v>
      </c>
      <c r="B2733" s="1" t="s">
        <v>2800</v>
      </c>
    </row>
    <row r="2734" spans="1:2">
      <c r="A2734" s="23">
        <v>107486</v>
      </c>
      <c r="B2734" s="1" t="s">
        <v>2801</v>
      </c>
    </row>
    <row r="2735" spans="1:2">
      <c r="A2735" s="23">
        <v>107487</v>
      </c>
      <c r="B2735" s="1" t="s">
        <v>2802</v>
      </c>
    </row>
    <row r="2736" spans="1:2">
      <c r="A2736" s="23">
        <v>107488</v>
      </c>
      <c r="B2736" s="1" t="s">
        <v>2803</v>
      </c>
    </row>
    <row r="2737" spans="1:2">
      <c r="A2737" s="23">
        <v>107489</v>
      </c>
      <c r="B2737" s="1" t="s">
        <v>2804</v>
      </c>
    </row>
    <row r="2738" spans="1:2">
      <c r="A2738" s="23">
        <v>107490</v>
      </c>
      <c r="B2738" s="1" t="s">
        <v>2805</v>
      </c>
    </row>
    <row r="2739" spans="1:2">
      <c r="A2739" s="23">
        <v>107491</v>
      </c>
      <c r="B2739" s="1" t="s">
        <v>2806</v>
      </c>
    </row>
    <row r="2740" spans="1:2">
      <c r="A2740" s="23">
        <v>107492</v>
      </c>
      <c r="B2740" s="1" t="s">
        <v>2807</v>
      </c>
    </row>
    <row r="2741" spans="1:2">
      <c r="A2741" s="23">
        <v>107493</v>
      </c>
      <c r="B2741" s="1" t="s">
        <v>2808</v>
      </c>
    </row>
    <row r="2742" spans="1:2">
      <c r="A2742" s="23">
        <v>107494</v>
      </c>
      <c r="B2742" s="1" t="s">
        <v>2809</v>
      </c>
    </row>
    <row r="2743" spans="1:2">
      <c r="A2743" s="23">
        <v>107495</v>
      </c>
      <c r="B2743" s="1" t="s">
        <v>2810</v>
      </c>
    </row>
    <row r="2744" spans="1:2">
      <c r="A2744" s="23">
        <v>107496</v>
      </c>
      <c r="B2744" s="1" t="s">
        <v>2811</v>
      </c>
    </row>
    <row r="2745" spans="1:2">
      <c r="A2745" s="23">
        <v>107497</v>
      </c>
      <c r="B2745" s="1" t="s">
        <v>2812</v>
      </c>
    </row>
    <row r="2746" spans="1:2">
      <c r="A2746" s="23">
        <v>107498</v>
      </c>
      <c r="B2746" s="1" t="s">
        <v>2813</v>
      </c>
    </row>
    <row r="2747" spans="1:2">
      <c r="A2747" s="23">
        <v>107499</v>
      </c>
      <c r="B2747" s="1" t="s">
        <v>2814</v>
      </c>
    </row>
    <row r="2748" spans="1:2">
      <c r="A2748" s="23">
        <v>107500</v>
      </c>
      <c r="B2748" s="1" t="s">
        <v>2815</v>
      </c>
    </row>
    <row r="2749" spans="1:2">
      <c r="A2749" s="23">
        <v>107501</v>
      </c>
      <c r="B2749" s="1" t="s">
        <v>2816</v>
      </c>
    </row>
    <row r="2750" spans="1:2">
      <c r="A2750" s="23">
        <v>107502</v>
      </c>
      <c r="B2750" s="1" t="s">
        <v>2817</v>
      </c>
    </row>
    <row r="2751" spans="1:2">
      <c r="A2751" s="23">
        <v>107503</v>
      </c>
      <c r="B2751" s="1" t="s">
        <v>2818</v>
      </c>
    </row>
    <row r="2752" spans="1:2">
      <c r="A2752" s="23">
        <v>107504</v>
      </c>
      <c r="B2752" s="1" t="s">
        <v>2819</v>
      </c>
    </row>
    <row r="2753" spans="1:2">
      <c r="A2753" s="23">
        <v>107505</v>
      </c>
      <c r="B2753" s="1" t="s">
        <v>2820</v>
      </c>
    </row>
    <row r="2754" spans="1:2">
      <c r="A2754" s="23">
        <v>107506</v>
      </c>
      <c r="B2754" s="1" t="s">
        <v>2821</v>
      </c>
    </row>
    <row r="2755" spans="1:2">
      <c r="A2755" s="23">
        <v>107507</v>
      </c>
      <c r="B2755" s="1" t="s">
        <v>2822</v>
      </c>
    </row>
    <row r="2756" spans="1:2">
      <c r="A2756" s="23">
        <v>107508</v>
      </c>
      <c r="B2756" s="1" t="s">
        <v>2823</v>
      </c>
    </row>
    <row r="2757" spans="1:2">
      <c r="A2757" s="23">
        <v>107509</v>
      </c>
      <c r="B2757" s="1" t="s">
        <v>2824</v>
      </c>
    </row>
    <row r="2758" spans="1:2">
      <c r="A2758" s="23">
        <v>107510</v>
      </c>
      <c r="B2758" s="1" t="s">
        <v>2825</v>
      </c>
    </row>
    <row r="2759" spans="1:2">
      <c r="A2759" s="23">
        <v>107511</v>
      </c>
      <c r="B2759" s="1" t="s">
        <v>2826</v>
      </c>
    </row>
    <row r="2760" spans="1:2">
      <c r="A2760" s="23">
        <v>107512</v>
      </c>
      <c r="B2760" s="1" t="s">
        <v>2827</v>
      </c>
    </row>
    <row r="2761" spans="1:2">
      <c r="A2761" s="23">
        <v>107513</v>
      </c>
      <c r="B2761" s="1" t="s">
        <v>2828</v>
      </c>
    </row>
    <row r="2762" spans="1:2">
      <c r="A2762" s="23">
        <v>107514</v>
      </c>
      <c r="B2762" s="1" t="s">
        <v>2829</v>
      </c>
    </row>
    <row r="2763" spans="1:2">
      <c r="A2763" s="23">
        <v>107515</v>
      </c>
      <c r="B2763" s="1" t="s">
        <v>2830</v>
      </c>
    </row>
    <row r="2764" spans="1:2">
      <c r="A2764" s="23">
        <v>107516</v>
      </c>
      <c r="B2764" s="1" t="s">
        <v>2831</v>
      </c>
    </row>
    <row r="2765" spans="1:2">
      <c r="A2765" s="23">
        <v>107517</v>
      </c>
      <c r="B2765" s="1" t="s">
        <v>2832</v>
      </c>
    </row>
    <row r="2766" spans="1:2">
      <c r="A2766" s="23">
        <v>107518</v>
      </c>
      <c r="B2766" s="1" t="s">
        <v>2833</v>
      </c>
    </row>
    <row r="2767" spans="1:2">
      <c r="A2767" s="23">
        <v>107519</v>
      </c>
      <c r="B2767" s="1" t="s">
        <v>2834</v>
      </c>
    </row>
    <row r="2768" spans="1:2">
      <c r="A2768" s="23">
        <v>107520</v>
      </c>
      <c r="B2768" s="1" t="s">
        <v>2835</v>
      </c>
    </row>
    <row r="2769" spans="1:2">
      <c r="A2769" s="23">
        <v>107521</v>
      </c>
      <c r="B2769" s="1" t="s">
        <v>2836</v>
      </c>
    </row>
    <row r="2770" spans="1:2">
      <c r="A2770" s="23">
        <v>107522</v>
      </c>
      <c r="B2770" s="1" t="s">
        <v>2837</v>
      </c>
    </row>
    <row r="2771" spans="1:2">
      <c r="A2771" s="23">
        <v>107523</v>
      </c>
      <c r="B2771" s="1" t="s">
        <v>2838</v>
      </c>
    </row>
    <row r="2772" spans="1:2">
      <c r="A2772" s="23">
        <v>107524</v>
      </c>
      <c r="B2772" s="1" t="s">
        <v>2839</v>
      </c>
    </row>
    <row r="2773" spans="1:2">
      <c r="A2773" s="23">
        <v>107525</v>
      </c>
      <c r="B2773" s="1" t="s">
        <v>2840</v>
      </c>
    </row>
    <row r="2774" spans="1:2">
      <c r="A2774" s="23">
        <v>107526</v>
      </c>
      <c r="B2774" s="1" t="s">
        <v>2841</v>
      </c>
    </row>
    <row r="2775" spans="1:2">
      <c r="A2775" s="23">
        <v>107527</v>
      </c>
      <c r="B2775" s="1" t="s">
        <v>2842</v>
      </c>
    </row>
    <row r="2776" spans="1:2">
      <c r="A2776" s="23">
        <v>107528</v>
      </c>
      <c r="B2776" s="1" t="s">
        <v>2843</v>
      </c>
    </row>
    <row r="2777" spans="1:2">
      <c r="A2777" s="23">
        <v>107529</v>
      </c>
      <c r="B2777" s="1" t="s">
        <v>2844</v>
      </c>
    </row>
    <row r="2778" spans="1:2">
      <c r="A2778" s="23">
        <v>107530</v>
      </c>
      <c r="B2778" s="1" t="s">
        <v>2845</v>
      </c>
    </row>
    <row r="2779" spans="1:2">
      <c r="A2779" s="23">
        <v>107531</v>
      </c>
      <c r="B2779" s="1" t="s">
        <v>2846</v>
      </c>
    </row>
    <row r="2780" spans="1:2">
      <c r="A2780" s="23">
        <v>107532</v>
      </c>
      <c r="B2780" s="1" t="s">
        <v>2847</v>
      </c>
    </row>
    <row r="2781" spans="1:2">
      <c r="A2781" s="23">
        <v>107533</v>
      </c>
      <c r="B2781" s="1" t="s">
        <v>2848</v>
      </c>
    </row>
    <row r="2782" spans="1:2">
      <c r="A2782" s="23">
        <v>107534</v>
      </c>
      <c r="B2782" s="1" t="s">
        <v>2849</v>
      </c>
    </row>
    <row r="2783" spans="1:2">
      <c r="A2783" s="23">
        <v>107535</v>
      </c>
      <c r="B2783" s="1" t="s">
        <v>2850</v>
      </c>
    </row>
    <row r="2784" spans="1:2">
      <c r="A2784" s="23">
        <v>107536</v>
      </c>
      <c r="B2784" s="1" t="s">
        <v>2851</v>
      </c>
    </row>
    <row r="2785" spans="1:2">
      <c r="A2785" s="23">
        <v>107537</v>
      </c>
      <c r="B2785" s="1" t="s">
        <v>2852</v>
      </c>
    </row>
    <row r="2786" spans="1:2">
      <c r="A2786" s="23">
        <v>107538</v>
      </c>
      <c r="B2786" s="1" t="s">
        <v>2853</v>
      </c>
    </row>
    <row r="2787" spans="1:2">
      <c r="A2787" s="23">
        <v>107539</v>
      </c>
      <c r="B2787" s="1" t="s">
        <v>2854</v>
      </c>
    </row>
    <row r="2788" spans="1:2">
      <c r="A2788" s="23">
        <v>107540</v>
      </c>
      <c r="B2788" s="1" t="s">
        <v>2855</v>
      </c>
    </row>
    <row r="2789" spans="1:2">
      <c r="A2789" s="23">
        <v>107541</v>
      </c>
      <c r="B2789" s="1" t="s">
        <v>2856</v>
      </c>
    </row>
    <row r="2790" spans="1:2">
      <c r="A2790" s="23">
        <v>107542</v>
      </c>
      <c r="B2790" s="1" t="s">
        <v>2857</v>
      </c>
    </row>
    <row r="2791" spans="1:2">
      <c r="A2791" s="23">
        <v>107543</v>
      </c>
      <c r="B2791" s="1" t="s">
        <v>2858</v>
      </c>
    </row>
    <row r="2792" spans="1:2">
      <c r="A2792" s="23">
        <v>107544</v>
      </c>
      <c r="B2792" s="1" t="s">
        <v>2859</v>
      </c>
    </row>
    <row r="2793" spans="1:2">
      <c r="A2793" s="23">
        <v>107545</v>
      </c>
      <c r="B2793" s="1" t="s">
        <v>2860</v>
      </c>
    </row>
    <row r="2794" spans="1:2">
      <c r="A2794" s="23">
        <v>107546</v>
      </c>
      <c r="B2794" s="1" t="s">
        <v>2861</v>
      </c>
    </row>
    <row r="2795" spans="1:2">
      <c r="A2795" s="23">
        <v>107547</v>
      </c>
      <c r="B2795" s="1" t="s">
        <v>2862</v>
      </c>
    </row>
    <row r="2796" spans="1:2">
      <c r="A2796" s="23">
        <v>107548</v>
      </c>
      <c r="B2796" s="1" t="s">
        <v>2863</v>
      </c>
    </row>
    <row r="2797" spans="1:2">
      <c r="A2797" s="23">
        <v>107549</v>
      </c>
      <c r="B2797" s="1" t="s">
        <v>2864</v>
      </c>
    </row>
    <row r="2798" spans="1:2">
      <c r="A2798" s="23">
        <v>107550</v>
      </c>
      <c r="B2798" s="1" t="s">
        <v>2865</v>
      </c>
    </row>
    <row r="2799" spans="1:2">
      <c r="A2799" s="23">
        <v>107551</v>
      </c>
      <c r="B2799" s="1" t="s">
        <v>2866</v>
      </c>
    </row>
    <row r="2800" spans="1:2">
      <c r="A2800" s="23">
        <v>107552</v>
      </c>
      <c r="B2800" s="1" t="s">
        <v>2867</v>
      </c>
    </row>
    <row r="2801" spans="1:2">
      <c r="A2801" s="23">
        <v>107553</v>
      </c>
      <c r="B2801" s="1" t="s">
        <v>2868</v>
      </c>
    </row>
    <row r="2802" spans="1:2">
      <c r="A2802" s="23">
        <v>107554</v>
      </c>
      <c r="B2802" s="1" t="s">
        <v>2869</v>
      </c>
    </row>
    <row r="2803" spans="1:2">
      <c r="A2803" s="23">
        <v>107555</v>
      </c>
      <c r="B2803" s="1" t="s">
        <v>2870</v>
      </c>
    </row>
    <row r="2804" spans="1:2">
      <c r="A2804" s="23">
        <v>107556</v>
      </c>
      <c r="B2804" s="1" t="s">
        <v>2871</v>
      </c>
    </row>
    <row r="2805" spans="1:2">
      <c r="A2805" s="23">
        <v>107557</v>
      </c>
      <c r="B2805" s="1" t="s">
        <v>2872</v>
      </c>
    </row>
    <row r="2806" spans="1:2">
      <c r="A2806" s="23">
        <v>107558</v>
      </c>
      <c r="B2806" s="1" t="s">
        <v>2873</v>
      </c>
    </row>
    <row r="2807" spans="1:2">
      <c r="A2807" s="23">
        <v>107559</v>
      </c>
      <c r="B2807" s="1" t="s">
        <v>2874</v>
      </c>
    </row>
    <row r="2808" spans="1:2">
      <c r="A2808" s="23">
        <v>107560</v>
      </c>
      <c r="B2808" s="1" t="s">
        <v>2875</v>
      </c>
    </row>
    <row r="2809" spans="1:2">
      <c r="A2809" s="23">
        <v>107561</v>
      </c>
      <c r="B2809" s="1" t="s">
        <v>2876</v>
      </c>
    </row>
    <row r="2810" spans="1:2">
      <c r="A2810" s="23">
        <v>107562</v>
      </c>
      <c r="B2810" s="1" t="s">
        <v>2877</v>
      </c>
    </row>
    <row r="2811" spans="1:2">
      <c r="A2811" s="23">
        <v>107563</v>
      </c>
      <c r="B2811" s="1" t="s">
        <v>2878</v>
      </c>
    </row>
    <row r="2812" spans="1:2">
      <c r="A2812" s="23">
        <v>107564</v>
      </c>
      <c r="B2812" s="1" t="s">
        <v>2879</v>
      </c>
    </row>
    <row r="2813" spans="1:2">
      <c r="A2813" s="23">
        <v>107565</v>
      </c>
      <c r="B2813" s="1" t="s">
        <v>2880</v>
      </c>
    </row>
    <row r="2814" spans="1:2">
      <c r="A2814" s="23">
        <v>107566</v>
      </c>
      <c r="B2814" s="1" t="s">
        <v>2881</v>
      </c>
    </row>
    <row r="2815" spans="1:2">
      <c r="A2815" s="23">
        <v>107567</v>
      </c>
      <c r="B2815" s="1" t="s">
        <v>2882</v>
      </c>
    </row>
    <row r="2816" spans="1:2">
      <c r="A2816" s="23">
        <v>107568</v>
      </c>
      <c r="B2816" s="1" t="s">
        <v>2883</v>
      </c>
    </row>
    <row r="2817" spans="1:2">
      <c r="A2817" s="23">
        <v>107569</v>
      </c>
      <c r="B2817" s="1" t="s">
        <v>2884</v>
      </c>
    </row>
    <row r="2818" spans="1:2">
      <c r="A2818" s="23">
        <v>107570</v>
      </c>
      <c r="B2818" s="1" t="s">
        <v>2885</v>
      </c>
    </row>
    <row r="2819" spans="1:2">
      <c r="A2819" s="23">
        <v>107571</v>
      </c>
      <c r="B2819" s="1" t="s">
        <v>2886</v>
      </c>
    </row>
    <row r="2820" spans="1:2">
      <c r="A2820" s="23">
        <v>107572</v>
      </c>
      <c r="B2820" s="1" t="s">
        <v>2887</v>
      </c>
    </row>
    <row r="2821" spans="1:2">
      <c r="A2821" s="23">
        <v>107573</v>
      </c>
      <c r="B2821" s="1" t="s">
        <v>2888</v>
      </c>
    </row>
    <row r="2822" spans="1:2">
      <c r="A2822" s="23">
        <v>107574</v>
      </c>
      <c r="B2822" s="1" t="s">
        <v>2889</v>
      </c>
    </row>
    <row r="2823" spans="1:2">
      <c r="A2823" s="23">
        <v>107575</v>
      </c>
      <c r="B2823" s="1" t="s">
        <v>2890</v>
      </c>
    </row>
    <row r="2824" spans="1:2">
      <c r="A2824" s="23">
        <v>107576</v>
      </c>
      <c r="B2824" s="1" t="s">
        <v>2891</v>
      </c>
    </row>
    <row r="2825" spans="1:2">
      <c r="A2825" s="23">
        <v>107577</v>
      </c>
      <c r="B2825" s="1" t="s">
        <v>2892</v>
      </c>
    </row>
    <row r="2826" spans="1:2">
      <c r="A2826" s="23">
        <v>107578</v>
      </c>
      <c r="B2826" s="1" t="s">
        <v>2893</v>
      </c>
    </row>
    <row r="2827" spans="1:2">
      <c r="A2827" s="23">
        <v>107579</v>
      </c>
      <c r="B2827" s="1" t="s">
        <v>2894</v>
      </c>
    </row>
    <row r="2828" spans="1:2">
      <c r="A2828" s="23">
        <v>107580</v>
      </c>
      <c r="B2828" s="1" t="s">
        <v>2895</v>
      </c>
    </row>
    <row r="2829" spans="1:2">
      <c r="A2829" s="23">
        <v>107581</v>
      </c>
      <c r="B2829" s="1" t="s">
        <v>2896</v>
      </c>
    </row>
    <row r="2830" spans="1:2">
      <c r="A2830" s="23">
        <v>107582</v>
      </c>
      <c r="B2830" s="1" t="s">
        <v>2897</v>
      </c>
    </row>
    <row r="2831" spans="1:2">
      <c r="A2831" s="23">
        <v>107583</v>
      </c>
      <c r="B2831" s="1" t="s">
        <v>2898</v>
      </c>
    </row>
    <row r="2832" spans="1:2">
      <c r="A2832" s="23">
        <v>107584</v>
      </c>
      <c r="B2832" s="1" t="s">
        <v>2899</v>
      </c>
    </row>
    <row r="2833" spans="1:2">
      <c r="A2833" s="23">
        <v>107585</v>
      </c>
      <c r="B2833" s="1" t="s">
        <v>2900</v>
      </c>
    </row>
    <row r="2834" spans="1:2">
      <c r="A2834" s="23">
        <v>107586</v>
      </c>
      <c r="B2834" s="1" t="s">
        <v>2901</v>
      </c>
    </row>
    <row r="2835" spans="1:2">
      <c r="A2835" s="23">
        <v>107587</v>
      </c>
      <c r="B2835" s="1" t="s">
        <v>2902</v>
      </c>
    </row>
    <row r="2836" spans="1:2">
      <c r="A2836" s="23">
        <v>107588</v>
      </c>
      <c r="B2836" s="1" t="s">
        <v>2903</v>
      </c>
    </row>
    <row r="2837" spans="1:2">
      <c r="A2837" s="23">
        <v>107589</v>
      </c>
      <c r="B2837" s="1" t="s">
        <v>2904</v>
      </c>
    </row>
    <row r="2838" spans="1:2">
      <c r="A2838" s="23">
        <v>107590</v>
      </c>
      <c r="B2838" s="1" t="s">
        <v>2905</v>
      </c>
    </row>
    <row r="2839" spans="1:2">
      <c r="A2839" s="23">
        <v>107591</v>
      </c>
      <c r="B2839" s="1" t="s">
        <v>2906</v>
      </c>
    </row>
    <row r="2840" spans="1:2">
      <c r="A2840" s="23">
        <v>107592</v>
      </c>
      <c r="B2840" s="1" t="s">
        <v>2907</v>
      </c>
    </row>
    <row r="2841" spans="1:2">
      <c r="A2841" s="23">
        <v>107593</v>
      </c>
      <c r="B2841" s="1" t="s">
        <v>2908</v>
      </c>
    </row>
    <row r="2842" spans="1:2">
      <c r="A2842" s="23">
        <v>107594</v>
      </c>
      <c r="B2842" s="1" t="s">
        <v>2909</v>
      </c>
    </row>
    <row r="2843" spans="1:2">
      <c r="A2843" s="23">
        <v>107595</v>
      </c>
      <c r="B2843" s="1" t="s">
        <v>2910</v>
      </c>
    </row>
    <row r="2844" spans="1:2">
      <c r="A2844" s="23">
        <v>107596</v>
      </c>
      <c r="B2844" s="1" t="s">
        <v>2911</v>
      </c>
    </row>
    <row r="2845" spans="1:2">
      <c r="A2845" s="23">
        <v>107597</v>
      </c>
      <c r="B2845" s="1" t="s">
        <v>2912</v>
      </c>
    </row>
    <row r="2846" spans="1:2">
      <c r="A2846" s="23">
        <v>107598</v>
      </c>
      <c r="B2846" s="1" t="s">
        <v>2913</v>
      </c>
    </row>
    <row r="2847" spans="1:2">
      <c r="A2847" s="23">
        <v>107599</v>
      </c>
      <c r="B2847" s="1" t="s">
        <v>2914</v>
      </c>
    </row>
    <row r="2848" spans="1:2">
      <c r="A2848" s="23">
        <v>107600</v>
      </c>
      <c r="B2848" s="1" t="s">
        <v>2915</v>
      </c>
    </row>
    <row r="2849" spans="1:2">
      <c r="A2849" s="23">
        <v>107601</v>
      </c>
      <c r="B2849" s="1" t="s">
        <v>2916</v>
      </c>
    </row>
    <row r="2850" spans="1:2">
      <c r="A2850" s="23">
        <v>107602</v>
      </c>
      <c r="B2850" s="1" t="s">
        <v>2917</v>
      </c>
    </row>
    <row r="2851" spans="1:2">
      <c r="A2851" s="23">
        <v>107603</v>
      </c>
      <c r="B2851" s="1" t="s">
        <v>2918</v>
      </c>
    </row>
    <row r="2852" spans="1:2">
      <c r="A2852" s="23">
        <v>107604</v>
      </c>
      <c r="B2852" s="1" t="s">
        <v>2919</v>
      </c>
    </row>
    <row r="2853" spans="1:2">
      <c r="A2853" s="23">
        <v>107605</v>
      </c>
      <c r="B2853" s="1" t="s">
        <v>2920</v>
      </c>
    </row>
    <row r="2854" spans="1:2">
      <c r="A2854" s="23">
        <v>107606</v>
      </c>
      <c r="B2854" s="1" t="s">
        <v>2921</v>
      </c>
    </row>
    <row r="2855" spans="1:2">
      <c r="A2855" s="23">
        <v>107607</v>
      </c>
      <c r="B2855" s="1" t="s">
        <v>2922</v>
      </c>
    </row>
    <row r="2856" spans="1:2">
      <c r="A2856" s="23">
        <v>107608</v>
      </c>
      <c r="B2856" s="1" t="s">
        <v>2923</v>
      </c>
    </row>
    <row r="2857" spans="1:2">
      <c r="A2857" s="23">
        <v>107609</v>
      </c>
      <c r="B2857" s="1" t="s">
        <v>2924</v>
      </c>
    </row>
    <row r="2858" spans="1:2">
      <c r="A2858" s="23">
        <v>107610</v>
      </c>
      <c r="B2858" s="1" t="s">
        <v>2925</v>
      </c>
    </row>
    <row r="2859" spans="1:2">
      <c r="A2859" s="23">
        <v>107611</v>
      </c>
      <c r="B2859" s="1" t="s">
        <v>2926</v>
      </c>
    </row>
    <row r="2860" spans="1:2">
      <c r="A2860" s="23">
        <v>107612</v>
      </c>
      <c r="B2860" s="1" t="s">
        <v>2927</v>
      </c>
    </row>
    <row r="2861" spans="1:2">
      <c r="A2861" s="23">
        <v>107613</v>
      </c>
      <c r="B2861" s="1" t="s">
        <v>2928</v>
      </c>
    </row>
    <row r="2862" spans="1:2">
      <c r="A2862" s="23">
        <v>107614</v>
      </c>
      <c r="B2862" s="1" t="s">
        <v>2929</v>
      </c>
    </row>
    <row r="2863" spans="1:2">
      <c r="A2863" s="23">
        <v>107615</v>
      </c>
      <c r="B2863" s="1" t="s">
        <v>2930</v>
      </c>
    </row>
    <row r="2864" spans="1:2">
      <c r="A2864" s="23">
        <v>107616</v>
      </c>
      <c r="B2864" s="1" t="s">
        <v>2931</v>
      </c>
    </row>
    <row r="2865" spans="1:2">
      <c r="A2865" s="23">
        <v>107617</v>
      </c>
      <c r="B2865" s="1" t="s">
        <v>2932</v>
      </c>
    </row>
    <row r="2866" spans="1:2">
      <c r="A2866" s="23">
        <v>107618</v>
      </c>
      <c r="B2866" s="1" t="s">
        <v>2933</v>
      </c>
    </row>
    <row r="2867" spans="1:2">
      <c r="A2867" s="23">
        <v>107619</v>
      </c>
      <c r="B2867" s="1" t="s">
        <v>2934</v>
      </c>
    </row>
    <row r="2868" spans="1:2">
      <c r="A2868" s="23">
        <v>107620</v>
      </c>
      <c r="B2868" s="1" t="s">
        <v>2935</v>
      </c>
    </row>
    <row r="2869" spans="1:2">
      <c r="A2869" s="23">
        <v>107621</v>
      </c>
      <c r="B2869" s="1" t="s">
        <v>2936</v>
      </c>
    </row>
    <row r="2870" spans="1:2">
      <c r="A2870" s="23">
        <v>107622</v>
      </c>
      <c r="B2870" s="1" t="s">
        <v>2937</v>
      </c>
    </row>
    <row r="2871" spans="1:2">
      <c r="A2871" s="23">
        <v>107623</v>
      </c>
      <c r="B2871" s="1" t="s">
        <v>2938</v>
      </c>
    </row>
    <row r="2872" spans="1:2">
      <c r="A2872" s="23">
        <v>107624</v>
      </c>
      <c r="B2872" s="1" t="s">
        <v>2939</v>
      </c>
    </row>
    <row r="2873" spans="1:2">
      <c r="A2873" s="23">
        <v>107625</v>
      </c>
      <c r="B2873" s="1" t="s">
        <v>2940</v>
      </c>
    </row>
    <row r="2874" spans="1:2">
      <c r="A2874" s="23">
        <v>107626</v>
      </c>
      <c r="B2874" s="1" t="s">
        <v>2941</v>
      </c>
    </row>
    <row r="2875" spans="1:2">
      <c r="A2875" s="23">
        <v>107627</v>
      </c>
      <c r="B2875" s="1" t="s">
        <v>2942</v>
      </c>
    </row>
    <row r="2876" spans="1:2">
      <c r="A2876" s="23">
        <v>107628</v>
      </c>
      <c r="B2876" s="1" t="s">
        <v>2943</v>
      </c>
    </row>
    <row r="2877" spans="1:2">
      <c r="A2877" s="23">
        <v>107629</v>
      </c>
      <c r="B2877" s="1" t="s">
        <v>2944</v>
      </c>
    </row>
    <row r="2878" spans="1:2">
      <c r="A2878" s="23">
        <v>107630</v>
      </c>
      <c r="B2878" s="1" t="s">
        <v>2945</v>
      </c>
    </row>
    <row r="2879" spans="1:2">
      <c r="A2879" s="23">
        <v>107631</v>
      </c>
      <c r="B2879" s="1" t="s">
        <v>2946</v>
      </c>
    </row>
    <row r="2880" spans="1:2">
      <c r="A2880" s="23">
        <v>107632</v>
      </c>
      <c r="B2880" s="1" t="s">
        <v>2947</v>
      </c>
    </row>
    <row r="2881" spans="1:2">
      <c r="A2881" s="23">
        <v>107633</v>
      </c>
      <c r="B2881" s="1" t="s">
        <v>2948</v>
      </c>
    </row>
    <row r="2882" spans="1:2">
      <c r="A2882" s="23">
        <v>107634</v>
      </c>
      <c r="B2882" s="1" t="s">
        <v>2949</v>
      </c>
    </row>
    <row r="2883" spans="1:2">
      <c r="A2883" s="23">
        <v>107635</v>
      </c>
      <c r="B2883" s="1" t="s">
        <v>2950</v>
      </c>
    </row>
    <row r="2884" spans="1:2">
      <c r="A2884" s="23">
        <v>107776</v>
      </c>
      <c r="B2884" s="1" t="s">
        <v>2951</v>
      </c>
    </row>
    <row r="2885" spans="1:2">
      <c r="A2885" s="23">
        <v>107777</v>
      </c>
      <c r="B2885" s="1" t="s">
        <v>2952</v>
      </c>
    </row>
    <row r="2886" spans="1:2">
      <c r="A2886" s="23">
        <v>107778</v>
      </c>
      <c r="B2886" s="1" t="s">
        <v>2953</v>
      </c>
    </row>
    <row r="2887" spans="1:2">
      <c r="A2887" s="23">
        <v>107779</v>
      </c>
      <c r="B2887" s="1" t="s">
        <v>2954</v>
      </c>
    </row>
    <row r="2888" spans="1:2">
      <c r="A2888" s="23">
        <v>107780</v>
      </c>
      <c r="B2888" s="1" t="s">
        <v>2955</v>
      </c>
    </row>
    <row r="2889" spans="1:2">
      <c r="A2889" s="23">
        <v>107781</v>
      </c>
      <c r="B2889" s="1" t="s">
        <v>2956</v>
      </c>
    </row>
    <row r="2890" spans="1:2">
      <c r="A2890" s="23">
        <v>107782</v>
      </c>
      <c r="B2890" s="1" t="s">
        <v>2957</v>
      </c>
    </row>
    <row r="2891" spans="1:2">
      <c r="A2891" s="23">
        <v>107783</v>
      </c>
      <c r="B2891" s="1" t="s">
        <v>2958</v>
      </c>
    </row>
    <row r="2892" spans="1:2">
      <c r="A2892" s="23">
        <v>107784</v>
      </c>
      <c r="B2892" s="1" t="s">
        <v>2959</v>
      </c>
    </row>
    <row r="2893" spans="1:2">
      <c r="A2893" s="23">
        <v>107785</v>
      </c>
      <c r="B2893" s="1" t="s">
        <v>2960</v>
      </c>
    </row>
    <row r="2894" spans="1:2">
      <c r="A2894" s="23">
        <v>107786</v>
      </c>
      <c r="B2894" s="1" t="s">
        <v>2961</v>
      </c>
    </row>
    <row r="2895" spans="1:2">
      <c r="A2895" s="23">
        <v>107787</v>
      </c>
      <c r="B2895" s="1" t="s">
        <v>2962</v>
      </c>
    </row>
    <row r="2896" spans="1:2">
      <c r="A2896" s="23">
        <v>107788</v>
      </c>
      <c r="B2896" s="1" t="s">
        <v>2963</v>
      </c>
    </row>
    <row r="2897" spans="1:2">
      <c r="A2897" s="23">
        <v>107789</v>
      </c>
      <c r="B2897" s="1" t="s">
        <v>2964</v>
      </c>
    </row>
    <row r="2898" spans="1:2">
      <c r="A2898" s="23">
        <v>107790</v>
      </c>
      <c r="B2898" s="1" t="s">
        <v>2965</v>
      </c>
    </row>
    <row r="2899" spans="1:2">
      <c r="A2899" s="23">
        <v>107791</v>
      </c>
      <c r="B2899" s="1" t="s">
        <v>2966</v>
      </c>
    </row>
    <row r="2900" spans="1:2">
      <c r="A2900" s="23">
        <v>108038</v>
      </c>
      <c r="B2900" s="1" t="s">
        <v>2967</v>
      </c>
    </row>
    <row r="2901" spans="1:2">
      <c r="A2901" s="23">
        <v>108039</v>
      </c>
      <c r="B2901" s="1" t="s">
        <v>2968</v>
      </c>
    </row>
    <row r="2902" spans="1:2">
      <c r="A2902" s="23">
        <v>108040</v>
      </c>
      <c r="B2902" s="1" t="s">
        <v>2969</v>
      </c>
    </row>
    <row r="2903" spans="1:2">
      <c r="A2903" s="23">
        <v>108041</v>
      </c>
      <c r="B2903" s="1" t="s">
        <v>2970</v>
      </c>
    </row>
    <row r="2904" spans="1:2">
      <c r="A2904" s="23">
        <v>108042</v>
      </c>
      <c r="B2904" s="1" t="s">
        <v>2971</v>
      </c>
    </row>
    <row r="2905" spans="1:2">
      <c r="A2905" s="23">
        <v>108043</v>
      </c>
      <c r="B2905" s="1" t="s">
        <v>2972</v>
      </c>
    </row>
    <row r="2906" spans="1:2">
      <c r="A2906" s="23">
        <v>108044</v>
      </c>
      <c r="B2906" s="1" t="s">
        <v>2973</v>
      </c>
    </row>
    <row r="2907" spans="1:2">
      <c r="A2907" s="23">
        <v>108045</v>
      </c>
      <c r="B2907" s="1" t="s">
        <v>2974</v>
      </c>
    </row>
    <row r="2908" spans="1:2">
      <c r="A2908" s="23">
        <v>108046</v>
      </c>
      <c r="B2908" s="1" t="s">
        <v>2975</v>
      </c>
    </row>
    <row r="2909" spans="1:2">
      <c r="A2909" s="23">
        <v>108047</v>
      </c>
      <c r="B2909" s="1" t="s">
        <v>2976</v>
      </c>
    </row>
    <row r="2910" spans="1:2">
      <c r="A2910" s="23">
        <v>108048</v>
      </c>
      <c r="B2910" s="1" t="s">
        <v>2977</v>
      </c>
    </row>
    <row r="2911" spans="1:2">
      <c r="A2911" s="23">
        <v>108049</v>
      </c>
      <c r="B2911" s="1" t="s">
        <v>2978</v>
      </c>
    </row>
    <row r="2912" spans="1:2">
      <c r="A2912" s="23">
        <v>108050</v>
      </c>
      <c r="B2912" s="1" t="s">
        <v>2979</v>
      </c>
    </row>
    <row r="2913" spans="1:2">
      <c r="A2913" s="23">
        <v>108051</v>
      </c>
      <c r="B2913" s="1" t="s">
        <v>2980</v>
      </c>
    </row>
    <row r="2914" spans="1:2">
      <c r="A2914" s="23">
        <v>108052</v>
      </c>
      <c r="B2914" s="1" t="s">
        <v>2981</v>
      </c>
    </row>
    <row r="2915" spans="1:2">
      <c r="A2915" s="23">
        <v>108053</v>
      </c>
      <c r="B2915" s="1" t="s">
        <v>2982</v>
      </c>
    </row>
    <row r="2916" spans="1:2">
      <c r="A2916" s="23">
        <v>108054</v>
      </c>
      <c r="B2916" s="1" t="s">
        <v>2983</v>
      </c>
    </row>
    <row r="2917" spans="1:2">
      <c r="A2917" s="23">
        <v>108055</v>
      </c>
      <c r="B2917" s="1" t="s">
        <v>2984</v>
      </c>
    </row>
    <row r="2918" spans="1:2">
      <c r="A2918" s="23">
        <v>108056</v>
      </c>
      <c r="B2918" s="1" t="s">
        <v>2985</v>
      </c>
    </row>
    <row r="2919" spans="1:2">
      <c r="A2919" s="23">
        <v>108057</v>
      </c>
      <c r="B2919" s="1" t="s">
        <v>2986</v>
      </c>
    </row>
    <row r="2920" spans="1:2">
      <c r="A2920" s="23">
        <v>108058</v>
      </c>
      <c r="B2920" s="1" t="s">
        <v>2987</v>
      </c>
    </row>
    <row r="2921" spans="1:2">
      <c r="A2921" s="23">
        <v>108059</v>
      </c>
      <c r="B2921" s="1" t="s">
        <v>2988</v>
      </c>
    </row>
    <row r="2922" spans="1:2">
      <c r="A2922" s="23">
        <v>108060</v>
      </c>
      <c r="B2922" s="1" t="s">
        <v>2989</v>
      </c>
    </row>
    <row r="2923" spans="1:2">
      <c r="A2923" s="23">
        <v>108061</v>
      </c>
      <c r="B2923" s="1" t="s">
        <v>2990</v>
      </c>
    </row>
    <row r="2924" spans="1:2">
      <c r="A2924" s="23">
        <v>108062</v>
      </c>
      <c r="B2924" s="1" t="s">
        <v>2991</v>
      </c>
    </row>
    <row r="2925" spans="1:2">
      <c r="A2925" s="23">
        <v>108063</v>
      </c>
      <c r="B2925" s="1" t="s">
        <v>2992</v>
      </c>
    </row>
    <row r="2926" spans="1:2">
      <c r="A2926" s="23">
        <v>108064</v>
      </c>
      <c r="B2926" s="1" t="s">
        <v>2993</v>
      </c>
    </row>
    <row r="2927" spans="1:2">
      <c r="A2927" s="23">
        <v>108065</v>
      </c>
      <c r="B2927" s="1" t="s">
        <v>2994</v>
      </c>
    </row>
    <row r="2928" spans="1:2">
      <c r="A2928" s="23">
        <v>108066</v>
      </c>
      <c r="B2928" s="1" t="s">
        <v>2995</v>
      </c>
    </row>
    <row r="2929" spans="1:2">
      <c r="A2929" s="23">
        <v>108067</v>
      </c>
      <c r="B2929" s="1" t="s">
        <v>2996</v>
      </c>
    </row>
    <row r="2930" spans="1:2">
      <c r="A2930" s="23">
        <v>108068</v>
      </c>
      <c r="B2930" s="1" t="s">
        <v>2997</v>
      </c>
    </row>
    <row r="2931" spans="1:2">
      <c r="A2931" s="23">
        <v>108069</v>
      </c>
      <c r="B2931" s="1" t="s">
        <v>2998</v>
      </c>
    </row>
    <row r="2932" spans="1:2">
      <c r="A2932" s="23">
        <v>108070</v>
      </c>
      <c r="B2932" s="1" t="s">
        <v>2999</v>
      </c>
    </row>
    <row r="2933" spans="1:2">
      <c r="A2933" s="23">
        <v>108071</v>
      </c>
      <c r="B2933" s="1" t="s">
        <v>3000</v>
      </c>
    </row>
    <row r="2934" spans="1:2">
      <c r="A2934" s="23">
        <v>108072</v>
      </c>
      <c r="B2934" s="1" t="s">
        <v>3001</v>
      </c>
    </row>
    <row r="2935" spans="1:2">
      <c r="A2935" s="23">
        <v>108073</v>
      </c>
      <c r="B2935" s="1" t="s">
        <v>3002</v>
      </c>
    </row>
    <row r="2936" spans="1:2">
      <c r="A2936" s="23">
        <v>108074</v>
      </c>
      <c r="B2936" s="1" t="s">
        <v>3003</v>
      </c>
    </row>
    <row r="2937" spans="1:2">
      <c r="A2937" s="23">
        <v>108075</v>
      </c>
      <c r="B2937" s="1" t="s">
        <v>3004</v>
      </c>
    </row>
    <row r="2938" spans="1:2">
      <c r="A2938" s="23">
        <v>108076</v>
      </c>
      <c r="B2938" s="1" t="s">
        <v>3005</v>
      </c>
    </row>
    <row r="2939" spans="1:2">
      <c r="A2939" s="23">
        <v>108077</v>
      </c>
      <c r="B2939" s="1" t="s">
        <v>3006</v>
      </c>
    </row>
    <row r="2940" spans="1:2">
      <c r="A2940" s="23">
        <v>108078</v>
      </c>
      <c r="B2940" s="1" t="s">
        <v>3007</v>
      </c>
    </row>
    <row r="2941" spans="1:2">
      <c r="A2941" s="23">
        <v>108079</v>
      </c>
      <c r="B2941" s="1" t="s">
        <v>3008</v>
      </c>
    </row>
    <row r="2942" spans="1:2">
      <c r="A2942" s="23">
        <v>108080</v>
      </c>
      <c r="B2942" s="1" t="s">
        <v>3009</v>
      </c>
    </row>
    <row r="2943" spans="1:2">
      <c r="A2943" s="23">
        <v>108081</v>
      </c>
      <c r="B2943" s="1" t="s">
        <v>3010</v>
      </c>
    </row>
    <row r="2944" spans="1:2">
      <c r="A2944" s="23">
        <v>108082</v>
      </c>
      <c r="B2944" s="1" t="s">
        <v>3011</v>
      </c>
    </row>
    <row r="2945" spans="1:2">
      <c r="A2945" s="23">
        <v>108083</v>
      </c>
      <c r="B2945" s="1" t="s">
        <v>3012</v>
      </c>
    </row>
    <row r="2946" spans="1:2">
      <c r="A2946" s="23">
        <v>108084</v>
      </c>
      <c r="B2946" s="1" t="s">
        <v>3013</v>
      </c>
    </row>
    <row r="2947" spans="1:2">
      <c r="A2947" s="23">
        <v>108085</v>
      </c>
      <c r="B2947" s="1" t="s">
        <v>3014</v>
      </c>
    </row>
    <row r="2948" spans="1:2">
      <c r="A2948" s="23">
        <v>108086</v>
      </c>
      <c r="B2948" s="1" t="s">
        <v>3015</v>
      </c>
    </row>
    <row r="2949" spans="1:2">
      <c r="A2949" s="23">
        <v>108087</v>
      </c>
      <c r="B2949" s="1" t="s">
        <v>3016</v>
      </c>
    </row>
    <row r="2950" spans="1:2">
      <c r="A2950" s="23">
        <v>108088</v>
      </c>
      <c r="B2950" s="1" t="s">
        <v>3017</v>
      </c>
    </row>
    <row r="2951" spans="1:2">
      <c r="A2951" s="23">
        <v>108089</v>
      </c>
      <c r="B2951" s="1" t="s">
        <v>3018</v>
      </c>
    </row>
    <row r="2952" spans="1:2">
      <c r="A2952" s="23">
        <v>108090</v>
      </c>
      <c r="B2952" s="1" t="s">
        <v>3019</v>
      </c>
    </row>
    <row r="2953" spans="1:2">
      <c r="A2953" s="23">
        <v>108091</v>
      </c>
      <c r="B2953" s="1" t="s">
        <v>3020</v>
      </c>
    </row>
    <row r="2954" spans="1:2">
      <c r="A2954" s="23">
        <v>108092</v>
      </c>
      <c r="B2954" s="1" t="s">
        <v>3021</v>
      </c>
    </row>
    <row r="2955" spans="1:2">
      <c r="A2955" s="23">
        <v>108093</v>
      </c>
      <c r="B2955" s="1" t="s">
        <v>3022</v>
      </c>
    </row>
    <row r="2956" spans="1:2">
      <c r="A2956" s="23">
        <v>108094</v>
      </c>
      <c r="B2956" s="1" t="s">
        <v>3023</v>
      </c>
    </row>
    <row r="2957" spans="1:2">
      <c r="A2957" s="23">
        <v>108095</v>
      </c>
      <c r="B2957" s="1" t="s">
        <v>3024</v>
      </c>
    </row>
    <row r="2958" spans="1:2">
      <c r="A2958" s="23">
        <v>108096</v>
      </c>
      <c r="B2958" s="1" t="s">
        <v>3025</v>
      </c>
    </row>
    <row r="2959" spans="1:2">
      <c r="A2959" s="23">
        <v>108097</v>
      </c>
      <c r="B2959" s="1" t="s">
        <v>3026</v>
      </c>
    </row>
    <row r="2960" spans="1:2">
      <c r="A2960" s="23">
        <v>108098</v>
      </c>
      <c r="B2960" s="1" t="s">
        <v>3027</v>
      </c>
    </row>
    <row r="2961" spans="1:2">
      <c r="A2961" s="23">
        <v>108099</v>
      </c>
      <c r="B2961" s="1" t="s">
        <v>3028</v>
      </c>
    </row>
    <row r="2962" spans="1:2">
      <c r="A2962" s="23">
        <v>108100</v>
      </c>
      <c r="B2962" s="1" t="s">
        <v>3029</v>
      </c>
    </row>
    <row r="2963" spans="1:2">
      <c r="A2963" s="23">
        <v>108101</v>
      </c>
      <c r="B2963" s="1" t="s">
        <v>3030</v>
      </c>
    </row>
    <row r="2964" spans="1:2">
      <c r="A2964" s="23">
        <v>108102</v>
      </c>
      <c r="B2964" s="1" t="s">
        <v>3031</v>
      </c>
    </row>
    <row r="2965" spans="1:2">
      <c r="A2965" s="23">
        <v>108106</v>
      </c>
      <c r="B2965" s="1" t="s">
        <v>3032</v>
      </c>
    </row>
    <row r="2966" spans="1:2">
      <c r="A2966" s="23">
        <v>108139</v>
      </c>
      <c r="B2966" s="1" t="s">
        <v>3033</v>
      </c>
    </row>
    <row r="2967" spans="1:2">
      <c r="A2967" s="23">
        <v>108140</v>
      </c>
      <c r="B2967" s="1" t="s">
        <v>3034</v>
      </c>
    </row>
    <row r="2968" spans="1:2">
      <c r="A2968" s="23">
        <v>108141</v>
      </c>
      <c r="B2968" s="1" t="s">
        <v>142</v>
      </c>
    </row>
    <row r="2969" spans="1:2">
      <c r="A2969" s="23">
        <v>108142</v>
      </c>
      <c r="B2969" s="1" t="s">
        <v>3035</v>
      </c>
    </row>
    <row r="2970" spans="1:2">
      <c r="A2970" s="23">
        <v>108143</v>
      </c>
      <c r="B2970" s="1" t="s">
        <v>3036</v>
      </c>
    </row>
    <row r="2971" spans="1:2">
      <c r="A2971" s="23">
        <v>108144</v>
      </c>
      <c r="B2971" s="1" t="s">
        <v>3037</v>
      </c>
    </row>
    <row r="2972" spans="1:2">
      <c r="A2972" s="23">
        <v>108146</v>
      </c>
      <c r="B2972" s="1" t="s">
        <v>3038</v>
      </c>
    </row>
    <row r="2973" spans="1:2">
      <c r="A2973" s="23">
        <v>108147</v>
      </c>
      <c r="B2973" s="1" t="s">
        <v>147</v>
      </c>
    </row>
    <row r="2974" spans="1:2">
      <c r="A2974" s="23">
        <v>108148</v>
      </c>
      <c r="B2974" s="1" t="s">
        <v>3039</v>
      </c>
    </row>
    <row r="2975" spans="1:2">
      <c r="A2975" s="23">
        <v>108149</v>
      </c>
      <c r="B2975" s="1" t="s">
        <v>3040</v>
      </c>
    </row>
    <row r="2976" spans="1:2">
      <c r="A2976" s="23">
        <v>108150</v>
      </c>
      <c r="B2976" s="1" t="s">
        <v>3041</v>
      </c>
    </row>
    <row r="2977" spans="1:2">
      <c r="A2977" s="23">
        <v>108151</v>
      </c>
      <c r="B2977" s="1" t="s">
        <v>3042</v>
      </c>
    </row>
    <row r="2978" spans="1:2">
      <c r="A2978" s="23">
        <v>108152</v>
      </c>
      <c r="B2978" s="1" t="s">
        <v>3043</v>
      </c>
    </row>
    <row r="2979" spans="1:2">
      <c r="A2979" s="23">
        <v>108153</v>
      </c>
      <c r="B2979" s="1" t="s">
        <v>3044</v>
      </c>
    </row>
    <row r="2980" spans="1:2">
      <c r="A2980" s="23">
        <v>108154</v>
      </c>
      <c r="B2980" s="1" t="s">
        <v>3045</v>
      </c>
    </row>
    <row r="2981" spans="1:2">
      <c r="A2981" s="23">
        <v>108155</v>
      </c>
      <c r="B2981" s="1" t="s">
        <v>3046</v>
      </c>
    </row>
    <row r="2982" spans="1:2">
      <c r="A2982" s="23">
        <v>108156</v>
      </c>
      <c r="B2982" s="1" t="s">
        <v>3047</v>
      </c>
    </row>
    <row r="2983" spans="1:2">
      <c r="A2983" s="23">
        <v>108157</v>
      </c>
      <c r="B2983" s="1" t="s">
        <v>3048</v>
      </c>
    </row>
    <row r="2984" spans="1:2">
      <c r="A2984" s="23">
        <v>108158</v>
      </c>
      <c r="B2984" s="1" t="s">
        <v>3049</v>
      </c>
    </row>
    <row r="2985" spans="1:2">
      <c r="A2985" s="23">
        <v>108159</v>
      </c>
      <c r="B2985" s="1" t="s">
        <v>3050</v>
      </c>
    </row>
    <row r="2986" spans="1:2">
      <c r="A2986" s="23">
        <v>108160</v>
      </c>
      <c r="B2986" s="1" t="s">
        <v>3051</v>
      </c>
    </row>
    <row r="2987" spans="1:2">
      <c r="A2987" s="23">
        <v>108161</v>
      </c>
      <c r="B2987" s="1" t="s">
        <v>3052</v>
      </c>
    </row>
    <row r="2988" spans="1:2">
      <c r="A2988" s="23">
        <v>108162</v>
      </c>
      <c r="B2988" s="1" t="s">
        <v>3053</v>
      </c>
    </row>
    <row r="2989" spans="1:2">
      <c r="A2989" s="23">
        <v>108163</v>
      </c>
      <c r="B2989" s="1" t="s">
        <v>3054</v>
      </c>
    </row>
    <row r="2990" spans="1:2">
      <c r="A2990" s="23">
        <v>108164</v>
      </c>
      <c r="B2990" s="1" t="s">
        <v>3055</v>
      </c>
    </row>
    <row r="2991" spans="1:2">
      <c r="A2991" s="23">
        <v>108165</v>
      </c>
      <c r="B2991" s="1" t="s">
        <v>3056</v>
      </c>
    </row>
    <row r="2992" spans="1:2">
      <c r="A2992" s="23">
        <v>108166</v>
      </c>
      <c r="B2992" s="1" t="s">
        <v>3057</v>
      </c>
    </row>
    <row r="2993" spans="1:2">
      <c r="A2993" s="23">
        <v>108167</v>
      </c>
      <c r="B2993" s="1" t="s">
        <v>3058</v>
      </c>
    </row>
    <row r="2994" spans="1:2">
      <c r="A2994" s="23">
        <v>108168</v>
      </c>
      <c r="B2994" s="1" t="s">
        <v>3059</v>
      </c>
    </row>
    <row r="2995" spans="1:2">
      <c r="A2995" s="23">
        <v>108169</v>
      </c>
      <c r="B2995" s="1" t="s">
        <v>3060</v>
      </c>
    </row>
    <row r="2996" spans="1:2">
      <c r="A2996" s="23">
        <v>108170</v>
      </c>
      <c r="B2996" s="1" t="s">
        <v>3061</v>
      </c>
    </row>
    <row r="2997" spans="1:2">
      <c r="A2997" s="23">
        <v>108171</v>
      </c>
      <c r="B2997" s="1" t="s">
        <v>3062</v>
      </c>
    </row>
    <row r="2998" spans="1:2">
      <c r="A2998" s="23">
        <v>108172</v>
      </c>
      <c r="B2998" s="1" t="s">
        <v>3063</v>
      </c>
    </row>
    <row r="2999" spans="1:2">
      <c r="A2999" s="23">
        <v>108173</v>
      </c>
      <c r="B2999" s="1" t="s">
        <v>3064</v>
      </c>
    </row>
    <row r="3000" spans="1:2">
      <c r="A3000" s="23">
        <v>108174</v>
      </c>
      <c r="B3000" s="1" t="s">
        <v>3065</v>
      </c>
    </row>
    <row r="3001" spans="1:2">
      <c r="A3001" s="23">
        <v>108175</v>
      </c>
      <c r="B3001" s="1" t="s">
        <v>3066</v>
      </c>
    </row>
    <row r="3002" spans="1:2">
      <c r="A3002" s="23">
        <v>108176</v>
      </c>
      <c r="B3002" s="1" t="s">
        <v>3067</v>
      </c>
    </row>
    <row r="3003" spans="1:2">
      <c r="A3003" s="23">
        <v>108177</v>
      </c>
      <c r="B3003" s="1" t="s">
        <v>3068</v>
      </c>
    </row>
    <row r="3004" spans="1:2">
      <c r="A3004" s="23">
        <v>108178</v>
      </c>
      <c r="B3004" s="1" t="s">
        <v>3069</v>
      </c>
    </row>
    <row r="3005" spans="1:2">
      <c r="A3005" s="23">
        <v>108179</v>
      </c>
      <c r="B3005" s="1" t="s">
        <v>3070</v>
      </c>
    </row>
    <row r="3006" spans="1:2">
      <c r="A3006" s="23">
        <v>108180</v>
      </c>
      <c r="B3006" s="1" t="s">
        <v>3071</v>
      </c>
    </row>
    <row r="3007" spans="1:2">
      <c r="A3007" s="23">
        <v>108181</v>
      </c>
      <c r="B3007" s="1" t="s">
        <v>3072</v>
      </c>
    </row>
    <row r="3008" spans="1:2">
      <c r="A3008" s="23">
        <v>108182</v>
      </c>
      <c r="B3008" s="1" t="s">
        <v>3073</v>
      </c>
    </row>
    <row r="3009" spans="1:2">
      <c r="A3009" s="23">
        <v>108183</v>
      </c>
      <c r="B3009" s="1" t="s">
        <v>3074</v>
      </c>
    </row>
    <row r="3010" spans="1:2">
      <c r="A3010" s="23">
        <v>108184</v>
      </c>
      <c r="B3010" s="1" t="s">
        <v>3075</v>
      </c>
    </row>
    <row r="3011" spans="1:2">
      <c r="A3011" s="23">
        <v>108185</v>
      </c>
      <c r="B3011" s="1" t="s">
        <v>3076</v>
      </c>
    </row>
    <row r="3012" spans="1:2">
      <c r="A3012" s="23">
        <v>108186</v>
      </c>
      <c r="B3012" s="1" t="s">
        <v>3077</v>
      </c>
    </row>
    <row r="3013" spans="1:2">
      <c r="A3013" s="23">
        <v>108187</v>
      </c>
      <c r="B3013" s="1" t="s">
        <v>3078</v>
      </c>
    </row>
    <row r="3014" spans="1:2">
      <c r="A3014" s="23">
        <v>108188</v>
      </c>
      <c r="B3014" s="1" t="s">
        <v>3079</v>
      </c>
    </row>
    <row r="3015" spans="1:2">
      <c r="A3015" s="23">
        <v>108189</v>
      </c>
      <c r="B3015" s="1" t="s">
        <v>3080</v>
      </c>
    </row>
    <row r="3016" spans="1:2">
      <c r="A3016" s="23">
        <v>108190</v>
      </c>
      <c r="B3016" s="1" t="s">
        <v>3081</v>
      </c>
    </row>
    <row r="3017" spans="1:2">
      <c r="A3017" s="23">
        <v>108191</v>
      </c>
      <c r="B3017" s="1" t="s">
        <v>3082</v>
      </c>
    </row>
    <row r="3018" spans="1:2">
      <c r="A3018" s="23">
        <v>108192</v>
      </c>
      <c r="B3018" s="1" t="s">
        <v>3083</v>
      </c>
    </row>
    <row r="3019" spans="1:2">
      <c r="A3019" s="23">
        <v>108193</v>
      </c>
      <c r="B3019" s="1" t="s">
        <v>3084</v>
      </c>
    </row>
    <row r="3020" spans="1:2">
      <c r="A3020" s="23">
        <v>108194</v>
      </c>
      <c r="B3020" s="1" t="s">
        <v>3085</v>
      </c>
    </row>
    <row r="3021" spans="1:2">
      <c r="A3021" s="23">
        <v>108195</v>
      </c>
      <c r="B3021" s="1" t="s">
        <v>3086</v>
      </c>
    </row>
    <row r="3022" spans="1:2">
      <c r="A3022" s="23">
        <v>108196</v>
      </c>
      <c r="B3022" s="1" t="s">
        <v>3087</v>
      </c>
    </row>
    <row r="3023" spans="1:2">
      <c r="A3023" s="23">
        <v>108197</v>
      </c>
      <c r="B3023" s="1" t="s">
        <v>3088</v>
      </c>
    </row>
    <row r="3024" spans="1:2">
      <c r="A3024" s="23">
        <v>108198</v>
      </c>
      <c r="B3024" s="1" t="s">
        <v>3089</v>
      </c>
    </row>
    <row r="3025" spans="1:2">
      <c r="A3025" s="23">
        <v>108199</v>
      </c>
      <c r="B3025" s="1" t="s">
        <v>3090</v>
      </c>
    </row>
    <row r="3026" spans="1:2">
      <c r="A3026" s="23">
        <v>108200</v>
      </c>
      <c r="B3026" s="1" t="s">
        <v>3091</v>
      </c>
    </row>
    <row r="3027" spans="1:2">
      <c r="A3027" s="23">
        <v>108201</v>
      </c>
      <c r="B3027" s="1" t="s">
        <v>3092</v>
      </c>
    </row>
    <row r="3028" spans="1:2">
      <c r="A3028" s="23">
        <v>108202</v>
      </c>
      <c r="B3028" s="1" t="s">
        <v>3093</v>
      </c>
    </row>
    <row r="3029" spans="1:2">
      <c r="A3029" s="23">
        <v>108203</v>
      </c>
      <c r="B3029" s="1" t="s">
        <v>3094</v>
      </c>
    </row>
    <row r="3030" spans="1:2">
      <c r="A3030" s="23">
        <v>108204</v>
      </c>
      <c r="B3030" s="1" t="s">
        <v>3095</v>
      </c>
    </row>
    <row r="3031" spans="1:2">
      <c r="A3031" s="23">
        <v>108205</v>
      </c>
      <c r="B3031" s="1" t="s">
        <v>3096</v>
      </c>
    </row>
    <row r="3032" spans="1:2">
      <c r="A3032" s="23">
        <v>108206</v>
      </c>
      <c r="B3032" s="1" t="s">
        <v>3097</v>
      </c>
    </row>
    <row r="3033" spans="1:2">
      <c r="A3033" s="23">
        <v>108207</v>
      </c>
      <c r="B3033" s="1" t="s">
        <v>3098</v>
      </c>
    </row>
    <row r="3034" spans="1:2">
      <c r="A3034" s="23">
        <v>108208</v>
      </c>
      <c r="B3034" s="1" t="s">
        <v>3099</v>
      </c>
    </row>
    <row r="3035" spans="1:2">
      <c r="A3035" s="23">
        <v>108209</v>
      </c>
      <c r="B3035" s="1" t="s">
        <v>3100</v>
      </c>
    </row>
    <row r="3036" spans="1:2">
      <c r="A3036" s="23">
        <v>108210</v>
      </c>
      <c r="B3036" s="1" t="s">
        <v>3101</v>
      </c>
    </row>
    <row r="3037" spans="1:2">
      <c r="A3037" s="23">
        <v>108211</v>
      </c>
      <c r="B3037" s="1" t="s">
        <v>3102</v>
      </c>
    </row>
    <row r="3038" spans="1:2">
      <c r="A3038" s="23">
        <v>108212</v>
      </c>
      <c r="B3038" s="1" t="s">
        <v>3103</v>
      </c>
    </row>
    <row r="3039" spans="1:2">
      <c r="A3039" s="23">
        <v>108213</v>
      </c>
      <c r="B3039" s="1" t="s">
        <v>3104</v>
      </c>
    </row>
    <row r="3040" spans="1:2">
      <c r="A3040" s="23">
        <v>108214</v>
      </c>
      <c r="B3040" s="1" t="s">
        <v>3105</v>
      </c>
    </row>
    <row r="3041" spans="1:2">
      <c r="A3041" s="23">
        <v>108215</v>
      </c>
      <c r="B3041" s="1" t="s">
        <v>3106</v>
      </c>
    </row>
    <row r="3042" spans="1:2">
      <c r="A3042" s="23">
        <v>108216</v>
      </c>
      <c r="B3042" s="1" t="s">
        <v>3107</v>
      </c>
    </row>
    <row r="3043" spans="1:2">
      <c r="A3043" s="23">
        <v>108217</v>
      </c>
      <c r="B3043" s="1" t="s">
        <v>3108</v>
      </c>
    </row>
    <row r="3044" spans="1:2">
      <c r="A3044" s="23">
        <v>108218</v>
      </c>
      <c r="B3044" s="1" t="s">
        <v>3109</v>
      </c>
    </row>
    <row r="3045" spans="1:2">
      <c r="A3045" s="23">
        <v>108219</v>
      </c>
      <c r="B3045" s="1" t="s">
        <v>3110</v>
      </c>
    </row>
    <row r="3046" spans="1:2">
      <c r="A3046" s="23">
        <v>108220</v>
      </c>
      <c r="B3046" s="1" t="s">
        <v>3111</v>
      </c>
    </row>
    <row r="3047" spans="1:2">
      <c r="A3047" s="23">
        <v>108221</v>
      </c>
      <c r="B3047" s="1" t="s">
        <v>3112</v>
      </c>
    </row>
    <row r="3048" spans="1:2">
      <c r="A3048" s="23">
        <v>108222</v>
      </c>
      <c r="B3048" s="1" t="s">
        <v>3113</v>
      </c>
    </row>
    <row r="3049" spans="1:2">
      <c r="A3049" s="23">
        <v>108223</v>
      </c>
      <c r="B3049" s="1" t="s">
        <v>3114</v>
      </c>
    </row>
    <row r="3050" spans="1:2">
      <c r="A3050" s="23">
        <v>108224</v>
      </c>
      <c r="B3050" s="1" t="s">
        <v>3115</v>
      </c>
    </row>
    <row r="3051" spans="1:2">
      <c r="A3051" s="23">
        <v>108234</v>
      </c>
      <c r="B3051" s="1" t="s">
        <v>3116</v>
      </c>
    </row>
    <row r="3052" spans="1:2">
      <c r="A3052" s="23">
        <v>108236</v>
      </c>
      <c r="B3052" s="1" t="s">
        <v>3117</v>
      </c>
    </row>
    <row r="3053" spans="1:2">
      <c r="A3053" s="23">
        <v>108243</v>
      </c>
      <c r="B3053" s="1" t="s">
        <v>3118</v>
      </c>
    </row>
    <row r="3054" spans="1:2">
      <c r="A3054" s="23">
        <v>108248</v>
      </c>
      <c r="B3054" s="1" t="s">
        <v>3119</v>
      </c>
    </row>
    <row r="3055" spans="1:2">
      <c r="A3055" s="23">
        <v>108249</v>
      </c>
      <c r="B3055" s="1" t="s">
        <v>3120</v>
      </c>
    </row>
    <row r="3056" spans="1:2">
      <c r="A3056" s="23">
        <v>108250</v>
      </c>
      <c r="B3056" s="1" t="s">
        <v>3121</v>
      </c>
    </row>
    <row r="3057" spans="1:2">
      <c r="A3057" s="23">
        <v>108251</v>
      </c>
      <c r="B3057" s="1" t="s">
        <v>3122</v>
      </c>
    </row>
    <row r="3058" spans="1:2">
      <c r="A3058" s="23">
        <v>108252</v>
      </c>
      <c r="B3058" s="1" t="s">
        <v>3123</v>
      </c>
    </row>
    <row r="3059" spans="1:2">
      <c r="A3059" s="23">
        <v>108253</v>
      </c>
      <c r="B3059" s="1" t="s">
        <v>3124</v>
      </c>
    </row>
    <row r="3060" spans="1:2">
      <c r="A3060" s="23">
        <v>108254</v>
      </c>
      <c r="B3060" s="1" t="s">
        <v>3125</v>
      </c>
    </row>
    <row r="3061" spans="1:2">
      <c r="A3061" s="23">
        <v>108255</v>
      </c>
      <c r="B3061" s="1" t="s">
        <v>3126</v>
      </c>
    </row>
    <row r="3062" spans="1:2">
      <c r="A3062" s="23">
        <v>108256</v>
      </c>
      <c r="B3062" s="1" t="s">
        <v>3127</v>
      </c>
    </row>
    <row r="3063" spans="1:2">
      <c r="A3063" s="23">
        <v>108257</v>
      </c>
      <c r="B3063" s="1" t="s">
        <v>3128</v>
      </c>
    </row>
    <row r="3064" spans="1:2">
      <c r="A3064" s="23">
        <v>108258</v>
      </c>
      <c r="B3064" s="1" t="s">
        <v>3129</v>
      </c>
    </row>
    <row r="3065" spans="1:2">
      <c r="A3065" s="23">
        <v>108259</v>
      </c>
      <c r="B3065" s="1" t="s">
        <v>3130</v>
      </c>
    </row>
    <row r="3066" spans="1:2">
      <c r="A3066" s="23">
        <v>108260</v>
      </c>
      <c r="B3066" s="1" t="s">
        <v>3131</v>
      </c>
    </row>
    <row r="3067" spans="1:2">
      <c r="A3067" s="23">
        <v>108261</v>
      </c>
      <c r="B3067" s="1" t="s">
        <v>3132</v>
      </c>
    </row>
    <row r="3068" spans="1:2">
      <c r="A3068" s="23">
        <v>108262</v>
      </c>
      <c r="B3068" s="1" t="s">
        <v>3133</v>
      </c>
    </row>
    <row r="3069" spans="1:2">
      <c r="A3069" s="23">
        <v>108263</v>
      </c>
      <c r="B3069" s="1" t="s">
        <v>3132</v>
      </c>
    </row>
    <row r="3070" spans="1:2">
      <c r="A3070" s="23">
        <v>108265</v>
      </c>
      <c r="B3070" s="1" t="s">
        <v>3134</v>
      </c>
    </row>
    <row r="3071" spans="1:2">
      <c r="A3071" s="23">
        <v>108266</v>
      </c>
      <c r="B3071" s="1" t="s">
        <v>3135</v>
      </c>
    </row>
    <row r="3072" spans="1:2">
      <c r="A3072" s="23">
        <v>108267</v>
      </c>
      <c r="B3072" s="1" t="s">
        <v>3136</v>
      </c>
    </row>
    <row r="3073" spans="1:2">
      <c r="A3073" s="23">
        <v>108268</v>
      </c>
      <c r="B3073" s="1" t="s">
        <v>3137</v>
      </c>
    </row>
    <row r="3074" spans="1:2">
      <c r="A3074" s="23">
        <v>108269</v>
      </c>
      <c r="B3074" s="1" t="s">
        <v>3138</v>
      </c>
    </row>
    <row r="3075" spans="1:2">
      <c r="A3075" s="23">
        <v>108270</v>
      </c>
      <c r="B3075" s="1" t="s">
        <v>3139</v>
      </c>
    </row>
    <row r="3076" spans="1:2">
      <c r="A3076" s="23">
        <v>108271</v>
      </c>
      <c r="B3076" s="1" t="s">
        <v>3140</v>
      </c>
    </row>
    <row r="3077" spans="1:2">
      <c r="A3077" s="23">
        <v>108272</v>
      </c>
      <c r="B3077" s="1" t="s">
        <v>3141</v>
      </c>
    </row>
    <row r="3078" spans="1:2">
      <c r="A3078" s="23">
        <v>108273</v>
      </c>
      <c r="B3078" s="1" t="s">
        <v>3142</v>
      </c>
    </row>
    <row r="3079" spans="1:2">
      <c r="A3079" s="23">
        <v>108274</v>
      </c>
      <c r="B3079" s="1" t="s">
        <v>3143</v>
      </c>
    </row>
    <row r="3080" spans="1:2">
      <c r="A3080" s="23">
        <v>108275</v>
      </c>
      <c r="B3080" s="1" t="s">
        <v>3144</v>
      </c>
    </row>
    <row r="3081" spans="1:2">
      <c r="A3081" s="23">
        <v>108276</v>
      </c>
      <c r="B3081" s="1" t="s">
        <v>3145</v>
      </c>
    </row>
    <row r="3082" spans="1:2">
      <c r="A3082" s="23">
        <v>108277</v>
      </c>
      <c r="B3082" s="1" t="s">
        <v>3146</v>
      </c>
    </row>
    <row r="3083" spans="1:2">
      <c r="A3083" s="23">
        <v>108278</v>
      </c>
      <c r="B3083" s="1" t="s">
        <v>3147</v>
      </c>
    </row>
    <row r="3084" spans="1:2">
      <c r="A3084" s="23">
        <v>108279</v>
      </c>
      <c r="B3084" s="1" t="s">
        <v>3148</v>
      </c>
    </row>
    <row r="3085" spans="1:2">
      <c r="A3085" s="23">
        <v>108280</v>
      </c>
      <c r="B3085" s="1" t="s">
        <v>3149</v>
      </c>
    </row>
    <row r="3086" spans="1:2">
      <c r="A3086" s="23">
        <v>108321</v>
      </c>
      <c r="B3086" s="1" t="s">
        <v>3150</v>
      </c>
    </row>
    <row r="3087" spans="1:2">
      <c r="A3087" s="23">
        <v>108322</v>
      </c>
      <c r="B3087" s="1" t="s">
        <v>3151</v>
      </c>
    </row>
    <row r="3088" spans="1:2">
      <c r="A3088" s="23">
        <v>108323</v>
      </c>
      <c r="B3088" s="1" t="s">
        <v>3152</v>
      </c>
    </row>
    <row r="3089" spans="1:2">
      <c r="A3089" s="23">
        <v>108324</v>
      </c>
      <c r="B3089" s="1" t="s">
        <v>3153</v>
      </c>
    </row>
    <row r="3090" spans="1:2">
      <c r="A3090" s="23">
        <v>108325</v>
      </c>
      <c r="B3090" s="1" t="s">
        <v>3154</v>
      </c>
    </row>
    <row r="3091" spans="1:2">
      <c r="A3091" s="23">
        <v>108326</v>
      </c>
      <c r="B3091" s="1" t="s">
        <v>3155</v>
      </c>
    </row>
    <row r="3092" spans="1:2">
      <c r="A3092" s="23">
        <v>108475</v>
      </c>
      <c r="B3092" s="1" t="s">
        <v>3156</v>
      </c>
    </row>
    <row r="3093" spans="1:2">
      <c r="A3093" s="23">
        <v>108476</v>
      </c>
      <c r="B3093" s="1" t="s">
        <v>3157</v>
      </c>
    </row>
    <row r="3094" spans="1:2">
      <c r="A3094" s="23">
        <v>108477</v>
      </c>
      <c r="B3094" s="1" t="s">
        <v>3158</v>
      </c>
    </row>
    <row r="3095" spans="1:2">
      <c r="A3095" s="23">
        <v>108478</v>
      </c>
      <c r="B3095" s="1" t="s">
        <v>3159</v>
      </c>
    </row>
    <row r="3096" spans="1:2">
      <c r="A3096" s="23">
        <v>108479</v>
      </c>
      <c r="B3096" s="1" t="s">
        <v>3160</v>
      </c>
    </row>
    <row r="3097" spans="1:2">
      <c r="A3097" s="23">
        <v>108480</v>
      </c>
      <c r="B3097" s="1" t="s">
        <v>3161</v>
      </c>
    </row>
    <row r="3098" spans="1:2">
      <c r="A3098" s="23">
        <v>108481</v>
      </c>
      <c r="B3098" s="1" t="s">
        <v>3162</v>
      </c>
    </row>
    <row r="3099" spans="1:2">
      <c r="A3099" s="23">
        <v>108482</v>
      </c>
      <c r="B3099" s="1" t="s">
        <v>3163</v>
      </c>
    </row>
    <row r="3100" spans="1:2">
      <c r="A3100" s="23">
        <v>108483</v>
      </c>
      <c r="B3100" s="1" t="s">
        <v>3164</v>
      </c>
    </row>
    <row r="3101" spans="1:2">
      <c r="A3101" s="23">
        <v>108484</v>
      </c>
      <c r="B3101" s="1" t="s">
        <v>3165</v>
      </c>
    </row>
    <row r="3102" spans="1:2">
      <c r="A3102" s="23">
        <v>108485</v>
      </c>
      <c r="B3102" s="1" t="s">
        <v>3166</v>
      </c>
    </row>
    <row r="3103" spans="1:2">
      <c r="A3103" s="23">
        <v>108486</v>
      </c>
      <c r="B3103" s="1" t="s">
        <v>3167</v>
      </c>
    </row>
    <row r="3104" spans="1:2">
      <c r="A3104" s="23">
        <v>108487</v>
      </c>
      <c r="B3104" s="1" t="s">
        <v>3168</v>
      </c>
    </row>
    <row r="3105" spans="1:2">
      <c r="A3105" s="23">
        <v>108488</v>
      </c>
      <c r="B3105" s="1" t="s">
        <v>3169</v>
      </c>
    </row>
    <row r="3106" spans="1:2">
      <c r="A3106" s="23">
        <v>108489</v>
      </c>
      <c r="B3106" s="1" t="s">
        <v>3170</v>
      </c>
    </row>
    <row r="3107" spans="1:2">
      <c r="A3107" s="23">
        <v>108490</v>
      </c>
      <c r="B3107" s="1" t="s">
        <v>3171</v>
      </c>
    </row>
    <row r="3108" spans="1:2">
      <c r="A3108" s="23">
        <v>108491</v>
      </c>
      <c r="B3108" s="1" t="s">
        <v>3172</v>
      </c>
    </row>
    <row r="3109" spans="1:2">
      <c r="A3109" s="23">
        <v>108492</v>
      </c>
      <c r="B3109" s="1" t="s">
        <v>3173</v>
      </c>
    </row>
    <row r="3110" spans="1:2">
      <c r="A3110" s="23">
        <v>108493</v>
      </c>
      <c r="B3110" s="1" t="s">
        <v>3174</v>
      </c>
    </row>
    <row r="3111" spans="1:2">
      <c r="A3111" s="23">
        <v>108494</v>
      </c>
      <c r="B3111" s="1" t="s">
        <v>3175</v>
      </c>
    </row>
    <row r="3112" spans="1:2">
      <c r="A3112" s="23">
        <v>108495</v>
      </c>
      <c r="B3112" s="1" t="s">
        <v>3176</v>
      </c>
    </row>
    <row r="3113" spans="1:2">
      <c r="A3113" s="23">
        <v>108496</v>
      </c>
      <c r="B3113" s="1" t="s">
        <v>3177</v>
      </c>
    </row>
    <row r="3114" spans="1:2">
      <c r="A3114" s="23">
        <v>108497</v>
      </c>
      <c r="B3114" s="1" t="s">
        <v>3178</v>
      </c>
    </row>
    <row r="3115" spans="1:2">
      <c r="A3115" s="23">
        <v>108498</v>
      </c>
      <c r="B3115" s="1" t="s">
        <v>3179</v>
      </c>
    </row>
    <row r="3116" spans="1:2">
      <c r="A3116" s="23">
        <v>108499</v>
      </c>
      <c r="B3116" s="1" t="s">
        <v>3180</v>
      </c>
    </row>
    <row r="3117" spans="1:2">
      <c r="A3117" s="23">
        <v>108500</v>
      </c>
      <c r="B3117" s="1" t="s">
        <v>3181</v>
      </c>
    </row>
    <row r="3118" spans="1:2">
      <c r="A3118" s="23">
        <v>108501</v>
      </c>
      <c r="B3118" s="1" t="s">
        <v>3182</v>
      </c>
    </row>
    <row r="3119" spans="1:2">
      <c r="A3119" s="23">
        <v>108502</v>
      </c>
      <c r="B3119" s="1" t="s">
        <v>3183</v>
      </c>
    </row>
    <row r="3120" spans="1:2">
      <c r="A3120" s="23">
        <v>108503</v>
      </c>
      <c r="B3120" s="1" t="s">
        <v>3184</v>
      </c>
    </row>
    <row r="3121" spans="1:2">
      <c r="A3121" s="23">
        <v>108504</v>
      </c>
      <c r="B3121" s="1" t="s">
        <v>3185</v>
      </c>
    </row>
    <row r="3122" spans="1:2">
      <c r="A3122" s="23">
        <v>108505</v>
      </c>
      <c r="B3122" s="1" t="s">
        <v>3186</v>
      </c>
    </row>
    <row r="3123" spans="1:2">
      <c r="A3123" s="23">
        <v>108506</v>
      </c>
      <c r="B3123" s="1" t="s">
        <v>3187</v>
      </c>
    </row>
    <row r="3124" spans="1:2">
      <c r="A3124" s="23">
        <v>108507</v>
      </c>
      <c r="B3124" s="1" t="s">
        <v>3188</v>
      </c>
    </row>
    <row r="3125" spans="1:2">
      <c r="A3125" s="23">
        <v>108508</v>
      </c>
      <c r="B3125" s="1" t="s">
        <v>3189</v>
      </c>
    </row>
    <row r="3126" spans="1:2">
      <c r="A3126" s="23">
        <v>108509</v>
      </c>
      <c r="B3126" s="1" t="s">
        <v>3190</v>
      </c>
    </row>
    <row r="3127" spans="1:2">
      <c r="A3127" s="23">
        <v>108510</v>
      </c>
      <c r="B3127" s="1" t="s">
        <v>3191</v>
      </c>
    </row>
    <row r="3128" spans="1:2">
      <c r="A3128" s="23">
        <v>108511</v>
      </c>
      <c r="B3128" s="1" t="s">
        <v>3192</v>
      </c>
    </row>
    <row r="3129" spans="1:2">
      <c r="A3129" s="23">
        <v>108512</v>
      </c>
      <c r="B3129" s="1" t="s">
        <v>3193</v>
      </c>
    </row>
    <row r="3130" spans="1:2">
      <c r="A3130" s="23">
        <v>108513</v>
      </c>
      <c r="B3130" s="1" t="s">
        <v>3194</v>
      </c>
    </row>
    <row r="3131" spans="1:2">
      <c r="A3131" s="23">
        <v>108516</v>
      </c>
      <c r="B3131" s="1" t="s">
        <v>3195</v>
      </c>
    </row>
    <row r="3132" spans="1:2">
      <c r="A3132" s="23">
        <v>108517</v>
      </c>
      <c r="B3132" s="1" t="s">
        <v>3196</v>
      </c>
    </row>
    <row r="3133" spans="1:2">
      <c r="A3133" s="23">
        <v>108518</v>
      </c>
      <c r="B3133" s="1" t="s">
        <v>3197</v>
      </c>
    </row>
    <row r="3134" spans="1:2">
      <c r="A3134" s="23">
        <v>108519</v>
      </c>
      <c r="B3134" s="1" t="s">
        <v>3198</v>
      </c>
    </row>
    <row r="3135" spans="1:2">
      <c r="A3135" s="23">
        <v>108520</v>
      </c>
      <c r="B3135" s="1" t="s">
        <v>3199</v>
      </c>
    </row>
    <row r="3136" spans="1:2">
      <c r="A3136" s="23">
        <v>108521</v>
      </c>
      <c r="B3136" s="1" t="s">
        <v>3200</v>
      </c>
    </row>
    <row r="3137" spans="1:2">
      <c r="A3137" s="23">
        <v>108522</v>
      </c>
      <c r="B3137" s="1" t="s">
        <v>3201</v>
      </c>
    </row>
    <row r="3138" spans="1:2">
      <c r="A3138" s="23">
        <v>108523</v>
      </c>
      <c r="B3138" s="1" t="s">
        <v>3202</v>
      </c>
    </row>
    <row r="3139" spans="1:2">
      <c r="A3139" s="23">
        <v>108530</v>
      </c>
      <c r="B3139" s="1" t="s">
        <v>3203</v>
      </c>
    </row>
    <row r="3140" spans="1:2">
      <c r="A3140" s="23">
        <v>108531</v>
      </c>
      <c r="B3140" s="1" t="s">
        <v>3204</v>
      </c>
    </row>
    <row r="3141" spans="1:2">
      <c r="A3141" s="23">
        <v>108532</v>
      </c>
      <c r="B3141" s="1" t="s">
        <v>3205</v>
      </c>
    </row>
    <row r="3142" spans="1:2">
      <c r="A3142" s="23">
        <v>108533</v>
      </c>
      <c r="B3142" s="1" t="s">
        <v>3206</v>
      </c>
    </row>
    <row r="3143" spans="1:2">
      <c r="A3143" s="23">
        <v>108547</v>
      </c>
      <c r="B3143" s="1" t="s">
        <v>3207</v>
      </c>
    </row>
    <row r="3144" spans="1:2">
      <c r="A3144" s="23">
        <v>108559</v>
      </c>
      <c r="B3144" s="1" t="s">
        <v>3208</v>
      </c>
    </row>
    <row r="3145" spans="1:2">
      <c r="A3145" s="23">
        <v>108570</v>
      </c>
      <c r="B3145" s="1" t="s">
        <v>3209</v>
      </c>
    </row>
    <row r="3146" spans="1:2">
      <c r="A3146" s="23">
        <v>108571</v>
      </c>
      <c r="B3146" s="1" t="s">
        <v>3210</v>
      </c>
    </row>
    <row r="3147" spans="1:2">
      <c r="A3147" s="23">
        <v>108572</v>
      </c>
      <c r="B3147" s="1" t="s">
        <v>3211</v>
      </c>
    </row>
    <row r="3148" spans="1:2">
      <c r="A3148" s="23">
        <v>108573</v>
      </c>
      <c r="B3148" s="1" t="s">
        <v>3212</v>
      </c>
    </row>
    <row r="3149" spans="1:2">
      <c r="A3149" s="23">
        <v>108574</v>
      </c>
      <c r="B3149" s="1" t="s">
        <v>3213</v>
      </c>
    </row>
    <row r="3150" spans="1:2">
      <c r="A3150" s="23">
        <v>108575</v>
      </c>
      <c r="B3150" s="1" t="s">
        <v>3214</v>
      </c>
    </row>
    <row r="3151" spans="1:2">
      <c r="A3151" s="23">
        <v>108576</v>
      </c>
      <c r="B3151" s="1" t="s">
        <v>3215</v>
      </c>
    </row>
    <row r="3152" spans="1:2">
      <c r="A3152" s="23">
        <v>108577</v>
      </c>
      <c r="B3152" s="1" t="s">
        <v>3216</v>
      </c>
    </row>
    <row r="3153" spans="1:2">
      <c r="A3153" s="23">
        <v>108578</v>
      </c>
      <c r="B3153" s="1" t="s">
        <v>3217</v>
      </c>
    </row>
    <row r="3154" spans="1:2">
      <c r="A3154" s="23">
        <v>108579</v>
      </c>
      <c r="B3154" s="1" t="s">
        <v>3218</v>
      </c>
    </row>
    <row r="3155" spans="1:2">
      <c r="A3155" s="23">
        <v>108580</v>
      </c>
      <c r="B3155" s="1" t="s">
        <v>3219</v>
      </c>
    </row>
    <row r="3156" spans="1:2">
      <c r="A3156" s="23">
        <v>108581</v>
      </c>
      <c r="B3156" s="1" t="s">
        <v>3220</v>
      </c>
    </row>
    <row r="3157" spans="1:2">
      <c r="A3157" s="23">
        <v>108582</v>
      </c>
      <c r="B3157" s="1" t="s">
        <v>3221</v>
      </c>
    </row>
    <row r="3158" spans="1:2">
      <c r="A3158" s="23">
        <v>108583</v>
      </c>
      <c r="B3158" s="1" t="s">
        <v>3222</v>
      </c>
    </row>
    <row r="3159" spans="1:2">
      <c r="A3159" s="23">
        <v>108584</v>
      </c>
      <c r="B3159" s="1" t="s">
        <v>3223</v>
      </c>
    </row>
    <row r="3160" spans="1:2">
      <c r="A3160" s="23">
        <v>108585</v>
      </c>
      <c r="B3160" s="1" t="s">
        <v>3224</v>
      </c>
    </row>
    <row r="3161" spans="1:2">
      <c r="A3161" s="23">
        <v>108586</v>
      </c>
      <c r="B3161" s="1" t="s">
        <v>3225</v>
      </c>
    </row>
    <row r="3162" spans="1:2">
      <c r="A3162" s="23">
        <v>108587</v>
      </c>
      <c r="B3162" s="1" t="s">
        <v>3226</v>
      </c>
    </row>
    <row r="3163" spans="1:2">
      <c r="A3163" s="23">
        <v>108588</v>
      </c>
      <c r="B3163" s="1" t="s">
        <v>3227</v>
      </c>
    </row>
    <row r="3164" spans="1:2">
      <c r="A3164" s="23">
        <v>108589</v>
      </c>
      <c r="B3164" s="1" t="s">
        <v>3228</v>
      </c>
    </row>
    <row r="3165" spans="1:2">
      <c r="A3165" s="23">
        <v>108590</v>
      </c>
      <c r="B3165" s="1" t="s">
        <v>3229</v>
      </c>
    </row>
    <row r="3166" spans="1:2">
      <c r="A3166" s="23">
        <v>108591</v>
      </c>
      <c r="B3166" s="1" t="s">
        <v>3230</v>
      </c>
    </row>
    <row r="3167" spans="1:2">
      <c r="A3167" s="23">
        <v>108592</v>
      </c>
      <c r="B3167" s="1" t="s">
        <v>3231</v>
      </c>
    </row>
    <row r="3168" spans="1:2">
      <c r="A3168" s="23">
        <v>108593</v>
      </c>
      <c r="B3168" s="1" t="s">
        <v>3232</v>
      </c>
    </row>
    <row r="3169" spans="1:2">
      <c r="A3169" s="23">
        <v>108594</v>
      </c>
      <c r="B3169" s="1" t="s">
        <v>3233</v>
      </c>
    </row>
    <row r="3170" spans="1:2">
      <c r="A3170" s="23">
        <v>108595</v>
      </c>
      <c r="B3170" s="1" t="s">
        <v>3234</v>
      </c>
    </row>
    <row r="3171" spans="1:2">
      <c r="A3171" s="23">
        <v>108596</v>
      </c>
      <c r="B3171" s="1" t="s">
        <v>3235</v>
      </c>
    </row>
    <row r="3172" spans="1:2">
      <c r="A3172" s="23">
        <v>108597</v>
      </c>
      <c r="B3172" s="1" t="s">
        <v>3236</v>
      </c>
    </row>
    <row r="3173" spans="1:2">
      <c r="A3173" s="23">
        <v>108599</v>
      </c>
      <c r="B3173" s="1" t="s">
        <v>3237</v>
      </c>
    </row>
    <row r="3174" spans="1:2">
      <c r="A3174" s="23">
        <v>108600</v>
      </c>
      <c r="B3174" s="1" t="s">
        <v>3238</v>
      </c>
    </row>
    <row r="3175" spans="1:2">
      <c r="A3175" s="23">
        <v>108601</v>
      </c>
      <c r="B3175" s="1" t="s">
        <v>3239</v>
      </c>
    </row>
    <row r="3176" spans="1:2">
      <c r="A3176" s="23">
        <v>108602</v>
      </c>
      <c r="B3176" s="1" t="s">
        <v>3240</v>
      </c>
    </row>
    <row r="3177" spans="1:2">
      <c r="A3177" s="23">
        <v>108603</v>
      </c>
      <c r="B3177" s="1" t="s">
        <v>3241</v>
      </c>
    </row>
    <row r="3178" spans="1:2">
      <c r="A3178" s="23">
        <v>108604</v>
      </c>
      <c r="B3178" s="1" t="s">
        <v>3242</v>
      </c>
    </row>
    <row r="3179" spans="1:2">
      <c r="A3179" s="23">
        <v>108605</v>
      </c>
      <c r="B3179" s="1" t="s">
        <v>3243</v>
      </c>
    </row>
    <row r="3180" spans="1:2">
      <c r="A3180" s="23">
        <v>108606</v>
      </c>
      <c r="B3180" s="1" t="s">
        <v>3244</v>
      </c>
    </row>
    <row r="3181" spans="1:2">
      <c r="A3181" s="23">
        <v>108607</v>
      </c>
      <c r="B3181" s="1" t="s">
        <v>3245</v>
      </c>
    </row>
    <row r="3182" spans="1:2">
      <c r="A3182" s="23">
        <v>108608</v>
      </c>
      <c r="B3182" s="1" t="s">
        <v>3246</v>
      </c>
    </row>
    <row r="3183" spans="1:2">
      <c r="A3183" s="23">
        <v>108609</v>
      </c>
      <c r="B3183" s="1" t="s">
        <v>3247</v>
      </c>
    </row>
    <row r="3184" spans="1:2">
      <c r="A3184" s="23">
        <v>108610</v>
      </c>
      <c r="B3184" s="1" t="s">
        <v>3248</v>
      </c>
    </row>
    <row r="3185" spans="1:2">
      <c r="A3185" s="23">
        <v>108611</v>
      </c>
      <c r="B3185" s="1" t="s">
        <v>3249</v>
      </c>
    </row>
    <row r="3186" spans="1:2">
      <c r="A3186" s="23">
        <v>108612</v>
      </c>
      <c r="B3186" s="1" t="s">
        <v>3250</v>
      </c>
    </row>
    <row r="3187" spans="1:2">
      <c r="A3187" s="23">
        <v>108614</v>
      </c>
      <c r="B3187" s="1" t="s">
        <v>3251</v>
      </c>
    </row>
    <row r="3188" spans="1:2">
      <c r="A3188" s="23">
        <v>108615</v>
      </c>
      <c r="B3188" s="1" t="s">
        <v>3252</v>
      </c>
    </row>
    <row r="3189" spans="1:2">
      <c r="A3189" s="23">
        <v>108616</v>
      </c>
      <c r="B3189" s="1" t="s">
        <v>3253</v>
      </c>
    </row>
    <row r="3190" spans="1:2">
      <c r="A3190" s="23">
        <v>108617</v>
      </c>
      <c r="B3190" s="1" t="s">
        <v>3254</v>
      </c>
    </row>
    <row r="3191" spans="1:2">
      <c r="A3191" s="23">
        <v>108618</v>
      </c>
      <c r="B3191" s="1" t="s">
        <v>3255</v>
      </c>
    </row>
    <row r="3192" spans="1:2">
      <c r="A3192" s="23">
        <v>108619</v>
      </c>
      <c r="B3192" s="1" t="s">
        <v>3256</v>
      </c>
    </row>
    <row r="3193" spans="1:2">
      <c r="A3193" s="23">
        <v>108620</v>
      </c>
      <c r="B3193" s="1" t="s">
        <v>3254</v>
      </c>
    </row>
    <row r="3194" spans="1:2">
      <c r="A3194" s="23">
        <v>108621</v>
      </c>
      <c r="B3194" s="1" t="s">
        <v>3257</v>
      </c>
    </row>
    <row r="3195" spans="1:2">
      <c r="A3195" s="23">
        <v>108622</v>
      </c>
      <c r="B3195" s="1" t="s">
        <v>3258</v>
      </c>
    </row>
    <row r="3196" spans="1:2">
      <c r="A3196" s="23">
        <v>108644</v>
      </c>
      <c r="B3196" s="1" t="s">
        <v>3259</v>
      </c>
    </row>
    <row r="3197" spans="1:2">
      <c r="A3197" s="23">
        <v>108645</v>
      </c>
      <c r="B3197" s="1" t="s">
        <v>3260</v>
      </c>
    </row>
    <row r="3198" spans="1:2">
      <c r="A3198" s="23">
        <v>108646</v>
      </c>
      <c r="B3198" s="1" t="s">
        <v>3261</v>
      </c>
    </row>
    <row r="3199" spans="1:2">
      <c r="A3199" s="23">
        <v>108647</v>
      </c>
      <c r="B3199" s="1" t="s">
        <v>3262</v>
      </c>
    </row>
    <row r="3200" spans="1:2">
      <c r="A3200" s="23">
        <v>108648</v>
      </c>
      <c r="B3200" s="1" t="s">
        <v>3263</v>
      </c>
    </row>
    <row r="3201" spans="1:2">
      <c r="A3201" s="23">
        <v>108649</v>
      </c>
      <c r="B3201" s="1" t="s">
        <v>3264</v>
      </c>
    </row>
    <row r="3202" spans="1:2">
      <c r="A3202" s="23">
        <v>108650</v>
      </c>
      <c r="B3202" s="1" t="s">
        <v>3265</v>
      </c>
    </row>
    <row r="3203" spans="1:2">
      <c r="A3203" s="23">
        <v>108651</v>
      </c>
      <c r="B3203" s="1" t="s">
        <v>3266</v>
      </c>
    </row>
    <row r="3204" spans="1:2">
      <c r="A3204" s="23">
        <v>108652</v>
      </c>
      <c r="B3204" s="1" t="s">
        <v>3267</v>
      </c>
    </row>
    <row r="3205" spans="1:2">
      <c r="A3205" s="23">
        <v>108656</v>
      </c>
      <c r="B3205" s="1" t="s">
        <v>3268</v>
      </c>
    </row>
    <row r="3206" spans="1:2">
      <c r="A3206" s="23">
        <v>108657</v>
      </c>
      <c r="B3206" s="1" t="s">
        <v>3269</v>
      </c>
    </row>
    <row r="3207" spans="1:2">
      <c r="A3207" s="23">
        <v>108660</v>
      </c>
      <c r="B3207" s="1" t="s">
        <v>3270</v>
      </c>
    </row>
    <row r="3208" spans="1:2">
      <c r="A3208" s="23">
        <v>108670</v>
      </c>
      <c r="B3208" s="1" t="s">
        <v>3271</v>
      </c>
    </row>
    <row r="3209" spans="1:2">
      <c r="A3209" s="23">
        <v>108671</v>
      </c>
      <c r="B3209" s="1" t="s">
        <v>3272</v>
      </c>
    </row>
    <row r="3210" spans="1:2">
      <c r="A3210" s="23">
        <v>108672</v>
      </c>
      <c r="B3210" s="1" t="s">
        <v>3273</v>
      </c>
    </row>
    <row r="3211" spans="1:2">
      <c r="A3211" s="23">
        <v>108673</v>
      </c>
      <c r="B3211" s="1" t="s">
        <v>3274</v>
      </c>
    </row>
    <row r="3212" spans="1:2">
      <c r="A3212" s="23">
        <v>108674</v>
      </c>
      <c r="B3212" s="1" t="s">
        <v>3275</v>
      </c>
    </row>
    <row r="3213" spans="1:2">
      <c r="A3213" s="23">
        <v>108675</v>
      </c>
      <c r="B3213" s="1" t="s">
        <v>3276</v>
      </c>
    </row>
    <row r="3214" spans="1:2">
      <c r="A3214" s="23">
        <v>108676</v>
      </c>
      <c r="B3214" s="1" t="s">
        <v>3277</v>
      </c>
    </row>
    <row r="3215" spans="1:2">
      <c r="A3215" s="23">
        <v>108677</v>
      </c>
      <c r="B3215" s="1" t="s">
        <v>3278</v>
      </c>
    </row>
    <row r="3216" spans="1:2">
      <c r="A3216" s="23">
        <v>108678</v>
      </c>
      <c r="B3216" s="1" t="s">
        <v>3279</v>
      </c>
    </row>
    <row r="3217" spans="1:2">
      <c r="A3217" s="23">
        <v>108679</v>
      </c>
      <c r="B3217" s="1" t="s">
        <v>3280</v>
      </c>
    </row>
    <row r="3218" spans="1:2">
      <c r="A3218" s="23">
        <v>108681</v>
      </c>
      <c r="B3218" s="1" t="s">
        <v>3281</v>
      </c>
    </row>
    <row r="3219" spans="1:2">
      <c r="A3219" s="23">
        <v>108682</v>
      </c>
      <c r="B3219" s="1" t="s">
        <v>3282</v>
      </c>
    </row>
    <row r="3220" spans="1:2">
      <c r="A3220" s="23">
        <v>108683</v>
      </c>
      <c r="B3220" s="1" t="s">
        <v>3283</v>
      </c>
    </row>
    <row r="3221" spans="1:2">
      <c r="A3221" s="23">
        <v>108684</v>
      </c>
      <c r="B3221" s="1" t="s">
        <v>3284</v>
      </c>
    </row>
    <row r="3222" spans="1:2">
      <c r="A3222" s="23">
        <v>108685</v>
      </c>
      <c r="B3222" s="1" t="s">
        <v>3285</v>
      </c>
    </row>
    <row r="3223" spans="1:2">
      <c r="A3223" s="23">
        <v>108686</v>
      </c>
      <c r="B3223" s="1" t="s">
        <v>3286</v>
      </c>
    </row>
    <row r="3224" spans="1:2">
      <c r="A3224" s="23">
        <v>108687</v>
      </c>
      <c r="B3224" s="1" t="s">
        <v>3287</v>
      </c>
    </row>
    <row r="3225" spans="1:2">
      <c r="A3225" s="23">
        <v>108688</v>
      </c>
      <c r="B3225" s="1" t="s">
        <v>3288</v>
      </c>
    </row>
    <row r="3226" spans="1:2">
      <c r="A3226" s="23">
        <v>108689</v>
      </c>
      <c r="B3226" s="1" t="s">
        <v>3289</v>
      </c>
    </row>
    <row r="3227" spans="1:2">
      <c r="A3227" s="23">
        <v>108690</v>
      </c>
      <c r="B3227" s="1" t="s">
        <v>3290</v>
      </c>
    </row>
    <row r="3228" spans="1:2">
      <c r="A3228" s="23">
        <v>108691</v>
      </c>
      <c r="B3228" s="1" t="s">
        <v>3291</v>
      </c>
    </row>
    <row r="3229" spans="1:2">
      <c r="A3229" s="23">
        <v>108718</v>
      </c>
      <c r="B3229" s="1" t="s">
        <v>3292</v>
      </c>
    </row>
    <row r="3230" spans="1:2">
      <c r="A3230" s="23">
        <v>108719</v>
      </c>
      <c r="B3230" s="1" t="s">
        <v>3293</v>
      </c>
    </row>
    <row r="3231" spans="1:2">
      <c r="A3231" s="23">
        <v>108799</v>
      </c>
      <c r="B3231" s="1" t="s">
        <v>3294</v>
      </c>
    </row>
    <row r="3232" spans="1:2">
      <c r="A3232" s="23">
        <v>108861</v>
      </c>
      <c r="B3232" s="1" t="s">
        <v>3295</v>
      </c>
    </row>
    <row r="3233" spans="1:2">
      <c r="A3233" s="23">
        <v>108862</v>
      </c>
      <c r="B3233" s="1" t="s">
        <v>3296</v>
      </c>
    </row>
    <row r="3234" spans="1:2">
      <c r="A3234" s="23">
        <v>108863</v>
      </c>
      <c r="B3234" s="1" t="s">
        <v>3236</v>
      </c>
    </row>
    <row r="3235" spans="1:2">
      <c r="A3235" s="23">
        <v>108864</v>
      </c>
      <c r="B3235" s="1" t="s">
        <v>3297</v>
      </c>
    </row>
    <row r="3236" spans="1:2">
      <c r="A3236" s="23">
        <v>108865</v>
      </c>
      <c r="B3236" s="1" t="s">
        <v>3298</v>
      </c>
    </row>
    <row r="3237" spans="1:2">
      <c r="A3237" s="23">
        <v>108866</v>
      </c>
      <c r="B3237" s="1" t="s">
        <v>3299</v>
      </c>
    </row>
    <row r="3238" spans="1:2">
      <c r="A3238" s="23">
        <v>108869</v>
      </c>
      <c r="B3238" s="1" t="s">
        <v>3300</v>
      </c>
    </row>
    <row r="3239" spans="1:2">
      <c r="A3239" s="23">
        <v>108870</v>
      </c>
      <c r="B3239" s="1" t="s">
        <v>3301</v>
      </c>
    </row>
    <row r="3240" spans="1:2">
      <c r="A3240" s="23">
        <v>108871</v>
      </c>
      <c r="B3240" s="1" t="s">
        <v>3302</v>
      </c>
    </row>
    <row r="3241" spans="1:2">
      <c r="A3241" s="23">
        <v>108872</v>
      </c>
      <c r="B3241" s="1" t="s">
        <v>3303</v>
      </c>
    </row>
    <row r="3242" spans="1:2">
      <c r="A3242" s="23">
        <v>108903</v>
      </c>
      <c r="B3242" s="1" t="s">
        <v>3304</v>
      </c>
    </row>
    <row r="3243" spans="1:2">
      <c r="A3243" s="23">
        <v>108904</v>
      </c>
      <c r="B3243" s="1" t="s">
        <v>3305</v>
      </c>
    </row>
    <row r="3244" spans="1:2">
      <c r="A3244" s="23">
        <v>108905</v>
      </c>
      <c r="B3244" s="1" t="s">
        <v>3306</v>
      </c>
    </row>
    <row r="3245" spans="1:2">
      <c r="A3245" s="23">
        <v>108906</v>
      </c>
      <c r="B3245" s="1" t="s">
        <v>3307</v>
      </c>
    </row>
    <row r="3246" spans="1:2">
      <c r="A3246" s="23">
        <v>108907</v>
      </c>
      <c r="B3246" s="1" t="s">
        <v>3308</v>
      </c>
    </row>
    <row r="3247" spans="1:2">
      <c r="A3247" s="23">
        <v>108908</v>
      </c>
      <c r="B3247" s="1" t="s">
        <v>3309</v>
      </c>
    </row>
    <row r="3248" spans="1:2">
      <c r="A3248" s="23">
        <v>108909</v>
      </c>
      <c r="B3248" s="1" t="s">
        <v>3310</v>
      </c>
    </row>
    <row r="3249" spans="1:2">
      <c r="A3249" s="23">
        <v>108910</v>
      </c>
      <c r="B3249" s="1" t="s">
        <v>3311</v>
      </c>
    </row>
    <row r="3250" spans="1:2">
      <c r="A3250" s="23">
        <v>108911</v>
      </c>
      <c r="B3250" s="1" t="s">
        <v>3312</v>
      </c>
    </row>
    <row r="3251" spans="1:2">
      <c r="A3251" s="23">
        <v>108912</v>
      </c>
      <c r="B3251" s="1" t="s">
        <v>3313</v>
      </c>
    </row>
    <row r="3252" spans="1:2">
      <c r="A3252" s="23">
        <v>108913</v>
      </c>
      <c r="B3252" s="1" t="s">
        <v>3314</v>
      </c>
    </row>
    <row r="3253" spans="1:2">
      <c r="A3253" s="23">
        <v>108914</v>
      </c>
      <c r="B3253" s="1" t="s">
        <v>3315</v>
      </c>
    </row>
    <row r="3254" spans="1:2">
      <c r="A3254" s="23">
        <v>108915</v>
      </c>
      <c r="B3254" s="1" t="s">
        <v>3316</v>
      </c>
    </row>
    <row r="3255" spans="1:2">
      <c r="A3255" s="23">
        <v>108916</v>
      </c>
      <c r="B3255" s="1" t="s">
        <v>3317</v>
      </c>
    </row>
    <row r="3256" spans="1:2">
      <c r="A3256" s="23">
        <v>108917</v>
      </c>
      <c r="B3256" s="1" t="s">
        <v>3318</v>
      </c>
    </row>
    <row r="3257" spans="1:2">
      <c r="A3257" s="23">
        <v>108918</v>
      </c>
      <c r="B3257" s="1" t="s">
        <v>3319</v>
      </c>
    </row>
    <row r="3258" spans="1:2">
      <c r="A3258" s="23">
        <v>108919</v>
      </c>
      <c r="B3258" s="1" t="s">
        <v>3320</v>
      </c>
    </row>
    <row r="3259" spans="1:2">
      <c r="A3259" s="23">
        <v>108920</v>
      </c>
      <c r="B3259" s="1" t="s">
        <v>3321</v>
      </c>
    </row>
    <row r="3260" spans="1:2">
      <c r="A3260" s="23">
        <v>108921</v>
      </c>
      <c r="B3260" s="1" t="s">
        <v>3322</v>
      </c>
    </row>
    <row r="3261" spans="1:2">
      <c r="A3261" s="23">
        <v>108922</v>
      </c>
      <c r="B3261" s="1" t="s">
        <v>3323</v>
      </c>
    </row>
    <row r="3262" spans="1:2">
      <c r="A3262" s="23">
        <v>108923</v>
      </c>
      <c r="B3262" s="1" t="s">
        <v>3324</v>
      </c>
    </row>
    <row r="3263" spans="1:2">
      <c r="A3263" s="23">
        <v>108924</v>
      </c>
      <c r="B3263" s="1" t="s">
        <v>3325</v>
      </c>
    </row>
    <row r="3264" spans="1:2">
      <c r="A3264" s="23">
        <v>108925</v>
      </c>
      <c r="B3264" s="1" t="s">
        <v>3326</v>
      </c>
    </row>
    <row r="3265" spans="1:2">
      <c r="A3265" s="23">
        <v>108926</v>
      </c>
      <c r="B3265" s="1" t="s">
        <v>3327</v>
      </c>
    </row>
    <row r="3266" spans="1:2">
      <c r="A3266" s="23">
        <v>108927</v>
      </c>
      <c r="B3266" s="1" t="s">
        <v>3328</v>
      </c>
    </row>
    <row r="3267" spans="1:2">
      <c r="A3267" s="23">
        <v>108928</v>
      </c>
      <c r="B3267" s="1" t="s">
        <v>3329</v>
      </c>
    </row>
    <row r="3268" spans="1:2">
      <c r="A3268" s="23">
        <v>108929</v>
      </c>
      <c r="B3268" s="1" t="s">
        <v>3330</v>
      </c>
    </row>
    <row r="3269" spans="1:2">
      <c r="A3269" s="23">
        <v>108933</v>
      </c>
      <c r="B3269" s="1" t="s">
        <v>3331</v>
      </c>
    </row>
    <row r="3270" spans="1:2">
      <c r="A3270" s="23">
        <v>108938</v>
      </c>
      <c r="B3270" s="1" t="s">
        <v>3332</v>
      </c>
    </row>
    <row r="3271" spans="1:2">
      <c r="A3271" s="23">
        <v>108939</v>
      </c>
      <c r="B3271" s="1" t="s">
        <v>3333</v>
      </c>
    </row>
    <row r="3272" spans="1:2">
      <c r="A3272" s="23">
        <v>108941</v>
      </c>
      <c r="B3272" s="1" t="s">
        <v>3334</v>
      </c>
    </row>
    <row r="3273" spans="1:2">
      <c r="A3273" s="23">
        <v>108949</v>
      </c>
      <c r="B3273" s="1" t="s">
        <v>3335</v>
      </c>
    </row>
    <row r="3274" spans="1:2">
      <c r="A3274" s="23">
        <v>108954</v>
      </c>
      <c r="B3274" s="1" t="s">
        <v>3336</v>
      </c>
    </row>
    <row r="3275" spans="1:2">
      <c r="A3275" s="23">
        <v>108955</v>
      </c>
      <c r="B3275" s="1" t="s">
        <v>3337</v>
      </c>
    </row>
    <row r="3276" spans="1:2">
      <c r="A3276" s="23">
        <v>108956</v>
      </c>
      <c r="B3276" s="1" t="s">
        <v>3338</v>
      </c>
    </row>
    <row r="3277" spans="1:2">
      <c r="A3277" s="23">
        <v>108957</v>
      </c>
      <c r="B3277" s="1" t="s">
        <v>3339</v>
      </c>
    </row>
    <row r="3278" spans="1:2">
      <c r="A3278" s="23">
        <v>108958</v>
      </c>
      <c r="B3278" s="1" t="s">
        <v>3340</v>
      </c>
    </row>
    <row r="3279" spans="1:2">
      <c r="A3279" s="23">
        <v>108959</v>
      </c>
      <c r="B3279" s="1" t="s">
        <v>3341</v>
      </c>
    </row>
    <row r="3280" spans="1:2">
      <c r="A3280" s="23">
        <v>109124</v>
      </c>
      <c r="B3280" s="1" t="s">
        <v>3342</v>
      </c>
    </row>
    <row r="3281" spans="1:2">
      <c r="A3281" s="23">
        <v>109127</v>
      </c>
      <c r="B3281" s="1" t="s">
        <v>3343</v>
      </c>
    </row>
    <row r="3282" spans="1:2">
      <c r="A3282" s="23">
        <v>109128</v>
      </c>
      <c r="B3282" s="1" t="s">
        <v>3344</v>
      </c>
    </row>
    <row r="3283" spans="1:2">
      <c r="A3283" s="23">
        <v>109129</v>
      </c>
      <c r="B3283" s="1" t="s">
        <v>3345</v>
      </c>
    </row>
    <row r="3284" spans="1:2">
      <c r="A3284" s="23">
        <v>109130</v>
      </c>
      <c r="B3284" s="1" t="s">
        <v>3346</v>
      </c>
    </row>
    <row r="3285" spans="1:2">
      <c r="A3285" s="23">
        <v>109131</v>
      </c>
      <c r="B3285" s="1" t="s">
        <v>3347</v>
      </c>
    </row>
    <row r="3286" spans="1:2">
      <c r="A3286" s="23">
        <v>109132</v>
      </c>
      <c r="B3286" s="1" t="s">
        <v>3348</v>
      </c>
    </row>
    <row r="3287" spans="1:2">
      <c r="A3287" s="23">
        <v>109133</v>
      </c>
      <c r="B3287" s="1" t="s">
        <v>3349</v>
      </c>
    </row>
    <row r="3288" spans="1:2">
      <c r="A3288" s="23">
        <v>109137</v>
      </c>
      <c r="B3288" s="1" t="s">
        <v>3350</v>
      </c>
    </row>
    <row r="3289" spans="1:2">
      <c r="A3289" s="23">
        <v>109152</v>
      </c>
      <c r="B3289" s="1" t="s">
        <v>3351</v>
      </c>
    </row>
    <row r="3290" spans="1:2">
      <c r="A3290" s="23">
        <v>109155</v>
      </c>
      <c r="B3290" s="1" t="s">
        <v>3352</v>
      </c>
    </row>
    <row r="3291" spans="1:2">
      <c r="A3291" s="23">
        <v>109156</v>
      </c>
      <c r="B3291" s="1" t="s">
        <v>3353</v>
      </c>
    </row>
    <row r="3292" spans="1:2">
      <c r="A3292" s="23">
        <v>109157</v>
      </c>
      <c r="B3292" s="1" t="s">
        <v>3354</v>
      </c>
    </row>
    <row r="3293" spans="1:2">
      <c r="A3293" s="23">
        <v>109158</v>
      </c>
      <c r="B3293" s="1" t="s">
        <v>3355</v>
      </c>
    </row>
    <row r="3294" spans="1:2">
      <c r="A3294" s="23">
        <v>109159</v>
      </c>
      <c r="B3294" s="1" t="s">
        <v>3356</v>
      </c>
    </row>
    <row r="3295" spans="1:2">
      <c r="A3295" s="23">
        <v>109165</v>
      </c>
      <c r="B3295" s="1" t="s">
        <v>3357</v>
      </c>
    </row>
    <row r="3296" spans="1:2">
      <c r="A3296" s="23">
        <v>109166</v>
      </c>
      <c r="B3296" s="1" t="s">
        <v>3358</v>
      </c>
    </row>
    <row r="3297" spans="1:2">
      <c r="A3297" s="23">
        <v>109167</v>
      </c>
      <c r="B3297" s="1" t="s">
        <v>3359</v>
      </c>
    </row>
    <row r="3298" spans="1:2">
      <c r="A3298" s="23">
        <v>109168</v>
      </c>
      <c r="B3298" s="1" t="s">
        <v>3360</v>
      </c>
    </row>
    <row r="3299" spans="1:2">
      <c r="A3299" s="23">
        <v>109169</v>
      </c>
      <c r="B3299" s="1" t="s">
        <v>3361</v>
      </c>
    </row>
    <row r="3300" spans="1:2">
      <c r="A3300" s="23">
        <v>109170</v>
      </c>
      <c r="B3300" s="1" t="s">
        <v>3362</v>
      </c>
    </row>
    <row r="3301" spans="1:2">
      <c r="A3301" s="23">
        <v>109171</v>
      </c>
      <c r="B3301" s="1" t="s">
        <v>3363</v>
      </c>
    </row>
    <row r="3302" spans="1:2">
      <c r="A3302" s="23">
        <v>109172</v>
      </c>
      <c r="B3302" s="1" t="s">
        <v>3364</v>
      </c>
    </row>
    <row r="3303" spans="1:2">
      <c r="A3303" s="23">
        <v>109173</v>
      </c>
      <c r="B3303" s="1" t="s">
        <v>3365</v>
      </c>
    </row>
    <row r="3304" spans="1:2">
      <c r="A3304" s="23">
        <v>109174</v>
      </c>
      <c r="B3304" s="1" t="s">
        <v>3366</v>
      </c>
    </row>
    <row r="3305" spans="1:2">
      <c r="A3305" s="23">
        <v>109175</v>
      </c>
      <c r="B3305" s="1" t="s">
        <v>3367</v>
      </c>
    </row>
    <row r="3306" spans="1:2">
      <c r="A3306" s="23">
        <v>109176</v>
      </c>
      <c r="B3306" s="1" t="s">
        <v>3368</v>
      </c>
    </row>
    <row r="3307" spans="1:2">
      <c r="A3307" s="23">
        <v>109177</v>
      </c>
      <c r="B3307" s="1" t="s">
        <v>3369</v>
      </c>
    </row>
    <row r="3308" spans="1:2">
      <c r="A3308" s="23">
        <v>109178</v>
      </c>
      <c r="B3308" s="1" t="s">
        <v>3370</v>
      </c>
    </row>
    <row r="3309" spans="1:2">
      <c r="A3309" s="23">
        <v>109180</v>
      </c>
      <c r="B3309" s="1" t="s">
        <v>3371</v>
      </c>
    </row>
    <row r="3310" spans="1:2">
      <c r="A3310" s="23">
        <v>109181</v>
      </c>
      <c r="B3310" s="1" t="s">
        <v>3372</v>
      </c>
    </row>
    <row r="3311" spans="1:2">
      <c r="A3311" s="23">
        <v>109182</v>
      </c>
      <c r="B3311" s="1" t="s">
        <v>3373</v>
      </c>
    </row>
    <row r="3312" spans="1:2">
      <c r="A3312" s="23">
        <v>109183</v>
      </c>
      <c r="B3312" s="1" t="s">
        <v>3374</v>
      </c>
    </row>
    <row r="3313" spans="1:2">
      <c r="A3313" s="23">
        <v>109184</v>
      </c>
      <c r="B3313" s="1" t="s">
        <v>3375</v>
      </c>
    </row>
    <row r="3314" spans="1:2">
      <c r="A3314" s="23">
        <v>109185</v>
      </c>
      <c r="B3314" s="1" t="s">
        <v>3376</v>
      </c>
    </row>
    <row r="3315" spans="1:2">
      <c r="A3315" s="23">
        <v>109186</v>
      </c>
      <c r="B3315" s="1" t="s">
        <v>3377</v>
      </c>
    </row>
    <row r="3316" spans="1:2">
      <c r="A3316" s="23">
        <v>109187</v>
      </c>
      <c r="B3316" s="1" t="s">
        <v>3378</v>
      </c>
    </row>
    <row r="3317" spans="1:2">
      <c r="A3317" s="23">
        <v>109189</v>
      </c>
      <c r="B3317" s="1" t="s">
        <v>3379</v>
      </c>
    </row>
    <row r="3318" spans="1:2">
      <c r="A3318" s="23">
        <v>109190</v>
      </c>
      <c r="B3318" s="1" t="s">
        <v>3380</v>
      </c>
    </row>
    <row r="3319" spans="1:2">
      <c r="A3319" s="23">
        <v>109191</v>
      </c>
      <c r="B3319" s="1" t="s">
        <v>3381</v>
      </c>
    </row>
    <row r="3320" spans="1:2">
      <c r="A3320" s="23">
        <v>109197</v>
      </c>
      <c r="B3320" s="1" t="s">
        <v>3382</v>
      </c>
    </row>
    <row r="3321" spans="1:2">
      <c r="A3321" s="23">
        <v>109198</v>
      </c>
      <c r="B3321" s="1" t="s">
        <v>3383</v>
      </c>
    </row>
    <row r="3322" spans="1:2">
      <c r="A3322" s="23">
        <v>109199</v>
      </c>
      <c r="B3322" s="1" t="s">
        <v>3384</v>
      </c>
    </row>
    <row r="3323" spans="1:2">
      <c r="A3323" s="23">
        <v>109200</v>
      </c>
      <c r="B3323" s="1" t="s">
        <v>3385</v>
      </c>
    </row>
    <row r="3324" spans="1:2">
      <c r="A3324" s="23">
        <v>109201</v>
      </c>
      <c r="B3324" s="1" t="s">
        <v>3386</v>
      </c>
    </row>
    <row r="3325" spans="1:2">
      <c r="A3325" s="23">
        <v>109202</v>
      </c>
      <c r="B3325" s="1" t="s">
        <v>3387</v>
      </c>
    </row>
    <row r="3326" spans="1:2">
      <c r="A3326" s="23">
        <v>109203</v>
      </c>
      <c r="B3326" s="1" t="s">
        <v>3388</v>
      </c>
    </row>
    <row r="3327" spans="1:2">
      <c r="A3327" s="23">
        <v>109204</v>
      </c>
      <c r="B3327" s="1" t="s">
        <v>3389</v>
      </c>
    </row>
    <row r="3328" spans="1:2">
      <c r="A3328" s="23">
        <v>109205</v>
      </c>
      <c r="B3328" s="1" t="s">
        <v>3390</v>
      </c>
    </row>
    <row r="3329" spans="1:2">
      <c r="A3329" s="23">
        <v>109206</v>
      </c>
      <c r="B3329" s="1" t="s">
        <v>3391</v>
      </c>
    </row>
    <row r="3330" spans="1:2">
      <c r="A3330" s="23">
        <v>109207</v>
      </c>
      <c r="B3330" s="1" t="s">
        <v>3392</v>
      </c>
    </row>
    <row r="3331" spans="1:2">
      <c r="A3331" s="23">
        <v>109208</v>
      </c>
      <c r="B3331" s="1" t="s">
        <v>3393</v>
      </c>
    </row>
    <row r="3332" spans="1:2">
      <c r="A3332" s="23">
        <v>109209</v>
      </c>
      <c r="B3332" s="1" t="s">
        <v>3394</v>
      </c>
    </row>
    <row r="3333" spans="1:2">
      <c r="A3333" s="23">
        <v>109210</v>
      </c>
      <c r="B3333" s="1" t="s">
        <v>3395</v>
      </c>
    </row>
    <row r="3334" spans="1:2">
      <c r="A3334" s="23">
        <v>109211</v>
      </c>
      <c r="B3334" s="1" t="s">
        <v>3396</v>
      </c>
    </row>
    <row r="3335" spans="1:2">
      <c r="A3335" s="23">
        <v>109212</v>
      </c>
      <c r="B3335" s="1" t="s">
        <v>3397</v>
      </c>
    </row>
    <row r="3336" spans="1:2">
      <c r="A3336" s="23">
        <v>109213</v>
      </c>
      <c r="B3336" s="1" t="s">
        <v>3398</v>
      </c>
    </row>
    <row r="3337" spans="1:2">
      <c r="A3337" s="23">
        <v>109214</v>
      </c>
      <c r="B3337" s="1" t="s">
        <v>3399</v>
      </c>
    </row>
    <row r="3338" spans="1:2">
      <c r="A3338" s="23">
        <v>109215</v>
      </c>
      <c r="B3338" s="1" t="s">
        <v>3400</v>
      </c>
    </row>
    <row r="3339" spans="1:2">
      <c r="A3339" s="23">
        <v>109216</v>
      </c>
      <c r="B3339" s="1" t="s">
        <v>3401</v>
      </c>
    </row>
    <row r="3340" spans="1:2">
      <c r="A3340" s="23">
        <v>109217</v>
      </c>
      <c r="B3340" s="1" t="s">
        <v>3402</v>
      </c>
    </row>
    <row r="3341" spans="1:2">
      <c r="A3341" s="23">
        <v>109218</v>
      </c>
      <c r="B3341" s="1" t="s">
        <v>3403</v>
      </c>
    </row>
    <row r="3342" spans="1:2">
      <c r="A3342" s="23">
        <v>109219</v>
      </c>
      <c r="B3342" s="1" t="s">
        <v>3404</v>
      </c>
    </row>
    <row r="3343" spans="1:2">
      <c r="A3343" s="23">
        <v>109220</v>
      </c>
      <c r="B3343" s="1" t="s">
        <v>3405</v>
      </c>
    </row>
    <row r="3344" spans="1:2">
      <c r="A3344" s="23">
        <v>109221</v>
      </c>
      <c r="B3344" s="1" t="s">
        <v>3406</v>
      </c>
    </row>
    <row r="3345" spans="1:2">
      <c r="A3345" s="23">
        <v>109222</v>
      </c>
      <c r="B3345" s="1" t="s">
        <v>3407</v>
      </c>
    </row>
    <row r="3346" spans="1:2">
      <c r="A3346" s="23">
        <v>109223</v>
      </c>
      <c r="B3346" s="1" t="s">
        <v>3408</v>
      </c>
    </row>
    <row r="3347" spans="1:2">
      <c r="A3347" s="23">
        <v>109224</v>
      </c>
      <c r="B3347" s="1" t="s">
        <v>3409</v>
      </c>
    </row>
    <row r="3348" spans="1:2">
      <c r="A3348" s="23">
        <v>109225</v>
      </c>
      <c r="B3348" s="1" t="s">
        <v>3410</v>
      </c>
    </row>
    <row r="3349" spans="1:2">
      <c r="A3349" s="23">
        <v>109226</v>
      </c>
      <c r="B3349" s="1" t="s">
        <v>3411</v>
      </c>
    </row>
    <row r="3350" spans="1:2">
      <c r="A3350" s="23">
        <v>109232</v>
      </c>
      <c r="B3350" s="1" t="s">
        <v>3412</v>
      </c>
    </row>
    <row r="3351" spans="1:2">
      <c r="A3351" s="23">
        <v>109234</v>
      </c>
      <c r="B3351" s="1" t="s">
        <v>3413</v>
      </c>
    </row>
    <row r="3352" spans="1:2">
      <c r="A3352" s="23">
        <v>109235</v>
      </c>
      <c r="B3352" s="1" t="s">
        <v>3414</v>
      </c>
    </row>
    <row r="3353" spans="1:2">
      <c r="A3353" s="23">
        <v>109236</v>
      </c>
      <c r="B3353" s="1" t="s">
        <v>3415</v>
      </c>
    </row>
    <row r="3354" spans="1:2">
      <c r="A3354" s="23">
        <v>109237</v>
      </c>
      <c r="B3354" s="1" t="s">
        <v>3416</v>
      </c>
    </row>
    <row r="3355" spans="1:2">
      <c r="A3355" s="23">
        <v>109238</v>
      </c>
      <c r="B3355" s="1" t="s">
        <v>3417</v>
      </c>
    </row>
    <row r="3356" spans="1:2">
      <c r="A3356" s="23">
        <v>109239</v>
      </c>
      <c r="B3356" s="1" t="s">
        <v>3418</v>
      </c>
    </row>
    <row r="3357" spans="1:2">
      <c r="A3357" s="23">
        <v>109240</v>
      </c>
      <c r="B3357" s="1" t="s">
        <v>3419</v>
      </c>
    </row>
    <row r="3358" spans="1:2">
      <c r="A3358" s="23">
        <v>109241</v>
      </c>
      <c r="B3358" s="1" t="s">
        <v>3420</v>
      </c>
    </row>
    <row r="3359" spans="1:2">
      <c r="A3359" s="23">
        <v>109242</v>
      </c>
      <c r="B3359" s="1" t="s">
        <v>3421</v>
      </c>
    </row>
    <row r="3360" spans="1:2">
      <c r="A3360" s="23">
        <v>109243</v>
      </c>
      <c r="B3360" s="1" t="s">
        <v>3422</v>
      </c>
    </row>
    <row r="3361" spans="1:2">
      <c r="A3361" s="23">
        <v>109244</v>
      </c>
      <c r="B3361" s="1" t="s">
        <v>3423</v>
      </c>
    </row>
    <row r="3362" spans="1:2">
      <c r="A3362" s="23">
        <v>109245</v>
      </c>
      <c r="B3362" s="1" t="s">
        <v>3424</v>
      </c>
    </row>
    <row r="3363" spans="1:2">
      <c r="A3363" s="23">
        <v>109246</v>
      </c>
      <c r="B3363" s="1" t="s">
        <v>3425</v>
      </c>
    </row>
    <row r="3364" spans="1:2">
      <c r="A3364" s="23">
        <v>109247</v>
      </c>
      <c r="B3364" s="1" t="s">
        <v>3426</v>
      </c>
    </row>
    <row r="3365" spans="1:2">
      <c r="A3365" s="23">
        <v>109248</v>
      </c>
      <c r="B3365" s="1" t="s">
        <v>3427</v>
      </c>
    </row>
    <row r="3366" spans="1:2">
      <c r="A3366" s="23">
        <v>109249</v>
      </c>
      <c r="B3366" s="1" t="s">
        <v>3428</v>
      </c>
    </row>
    <row r="3367" spans="1:2">
      <c r="A3367" s="23">
        <v>109250</v>
      </c>
      <c r="B3367" s="1" t="s">
        <v>3429</v>
      </c>
    </row>
    <row r="3368" spans="1:2">
      <c r="A3368" s="23">
        <v>109251</v>
      </c>
      <c r="B3368" s="1" t="s">
        <v>3430</v>
      </c>
    </row>
    <row r="3369" spans="1:2">
      <c r="A3369" s="23">
        <v>109252</v>
      </c>
      <c r="B3369" s="1" t="s">
        <v>3431</v>
      </c>
    </row>
    <row r="3370" spans="1:2">
      <c r="A3370" s="23">
        <v>109253</v>
      </c>
      <c r="B3370" s="1" t="s">
        <v>3432</v>
      </c>
    </row>
    <row r="3371" spans="1:2">
      <c r="A3371" s="23">
        <v>109254</v>
      </c>
      <c r="B3371" s="1" t="s">
        <v>3433</v>
      </c>
    </row>
    <row r="3372" spans="1:2">
      <c r="A3372" s="23">
        <v>109255</v>
      </c>
      <c r="B3372" s="1" t="s">
        <v>3434</v>
      </c>
    </row>
    <row r="3373" spans="1:2">
      <c r="A3373" s="23">
        <v>109260</v>
      </c>
      <c r="B3373" s="1" t="s">
        <v>3435</v>
      </c>
    </row>
    <row r="3374" spans="1:2">
      <c r="A3374" s="23">
        <v>109272</v>
      </c>
      <c r="B3374" s="1" t="s">
        <v>3436</v>
      </c>
    </row>
    <row r="3375" spans="1:2">
      <c r="A3375" s="23">
        <v>109273</v>
      </c>
      <c r="B3375" s="1" t="s">
        <v>3437</v>
      </c>
    </row>
    <row r="3376" spans="1:2">
      <c r="A3376" s="23">
        <v>109274</v>
      </c>
      <c r="B3376" s="1" t="s">
        <v>3438</v>
      </c>
    </row>
    <row r="3377" spans="1:2">
      <c r="A3377" s="23">
        <v>109275</v>
      </c>
      <c r="B3377" s="1" t="s">
        <v>3439</v>
      </c>
    </row>
    <row r="3378" spans="1:2">
      <c r="A3378" s="23">
        <v>109279</v>
      </c>
      <c r="B3378" s="1" t="s">
        <v>3440</v>
      </c>
    </row>
    <row r="3379" spans="1:2">
      <c r="A3379" s="23">
        <v>109461</v>
      </c>
      <c r="B3379" s="1" t="s">
        <v>3441</v>
      </c>
    </row>
    <row r="3380" spans="1:2">
      <c r="A3380" s="23">
        <v>109515</v>
      </c>
      <c r="B3380" s="1" t="s">
        <v>3442</v>
      </c>
    </row>
    <row r="3381" spans="1:2">
      <c r="A3381" s="23">
        <v>109538</v>
      </c>
      <c r="B3381" s="1" t="s">
        <v>3443</v>
      </c>
    </row>
    <row r="3382" spans="1:2">
      <c r="A3382" s="23">
        <v>109539</v>
      </c>
      <c r="B3382" s="1" t="s">
        <v>3444</v>
      </c>
    </row>
    <row r="3383" spans="1:2">
      <c r="A3383" s="23">
        <v>109540</v>
      </c>
      <c r="B3383" s="1" t="s">
        <v>3445</v>
      </c>
    </row>
    <row r="3384" spans="1:2">
      <c r="A3384" s="23">
        <v>109541</v>
      </c>
      <c r="B3384" s="1" t="s">
        <v>3446</v>
      </c>
    </row>
    <row r="3385" spans="1:2">
      <c r="A3385" s="23">
        <v>109542</v>
      </c>
      <c r="B3385" s="1" t="s">
        <v>3447</v>
      </c>
    </row>
    <row r="3386" spans="1:2">
      <c r="A3386" s="23">
        <v>109580</v>
      </c>
      <c r="B3386" s="1" t="s">
        <v>3448</v>
      </c>
    </row>
    <row r="3387" spans="1:2">
      <c r="A3387" s="23">
        <v>109595</v>
      </c>
      <c r="B3387" s="1" t="s">
        <v>3449</v>
      </c>
    </row>
    <row r="3388" spans="1:2">
      <c r="A3388" s="23">
        <v>109650</v>
      </c>
      <c r="B3388" s="1" t="s">
        <v>3450</v>
      </c>
    </row>
    <row r="3389" spans="1:2">
      <c r="A3389" s="23">
        <v>109651</v>
      </c>
      <c r="B3389" s="1" t="s">
        <v>3451</v>
      </c>
    </row>
    <row r="3390" spans="1:2">
      <c r="A3390" s="23">
        <v>109656</v>
      </c>
      <c r="B3390" s="1" t="s">
        <v>3452</v>
      </c>
    </row>
    <row r="3391" spans="1:2">
      <c r="A3391" s="23">
        <v>109663</v>
      </c>
      <c r="B3391" s="1" t="s">
        <v>3453</v>
      </c>
    </row>
    <row r="3392" spans="1:2">
      <c r="A3392" s="23">
        <v>109664</v>
      </c>
      <c r="B3392" s="1" t="s">
        <v>3454</v>
      </c>
    </row>
    <row r="3393" spans="1:2">
      <c r="A3393" s="23">
        <v>109665</v>
      </c>
      <c r="B3393" s="1" t="s">
        <v>3455</v>
      </c>
    </row>
    <row r="3394" spans="1:2">
      <c r="A3394" s="23">
        <v>109666</v>
      </c>
      <c r="B3394" s="1" t="s">
        <v>3456</v>
      </c>
    </row>
    <row r="3395" spans="1:2">
      <c r="A3395" s="23">
        <v>109683</v>
      </c>
      <c r="B3395" s="1" t="s">
        <v>3457</v>
      </c>
    </row>
    <row r="3396" spans="1:2">
      <c r="A3396" s="23">
        <v>109720</v>
      </c>
      <c r="B3396" s="1" t="s">
        <v>3458</v>
      </c>
    </row>
    <row r="3397" spans="1:2">
      <c r="A3397" s="23">
        <v>109722</v>
      </c>
      <c r="B3397" s="1" t="s">
        <v>3459</v>
      </c>
    </row>
    <row r="3398" spans="1:2">
      <c r="A3398" s="23">
        <v>109725</v>
      </c>
      <c r="B3398" s="1" t="s">
        <v>3460</v>
      </c>
    </row>
    <row r="3399" spans="1:2">
      <c r="A3399" s="23">
        <v>109754</v>
      </c>
      <c r="B3399" s="1" t="s">
        <v>3461</v>
      </c>
    </row>
    <row r="3400" spans="1:2">
      <c r="A3400" s="23">
        <v>109757</v>
      </c>
      <c r="B3400" s="1" t="s">
        <v>3462</v>
      </c>
    </row>
    <row r="3401" spans="1:2">
      <c r="A3401" s="23">
        <v>109760</v>
      </c>
      <c r="B3401" s="1" t="s">
        <v>3463</v>
      </c>
    </row>
    <row r="3402" spans="1:2">
      <c r="A3402" s="23">
        <v>109761</v>
      </c>
      <c r="B3402" s="1" t="s">
        <v>3464</v>
      </c>
    </row>
    <row r="3403" spans="1:2">
      <c r="A3403" s="23">
        <v>109762</v>
      </c>
      <c r="B3403" s="1" t="s">
        <v>3465</v>
      </c>
    </row>
    <row r="3404" spans="1:2">
      <c r="A3404" s="23">
        <v>109767</v>
      </c>
      <c r="B3404" s="1" t="s">
        <v>3466</v>
      </c>
    </row>
    <row r="3405" spans="1:2">
      <c r="A3405" s="23">
        <v>109769</v>
      </c>
      <c r="B3405" s="1" t="s">
        <v>3467</v>
      </c>
    </row>
    <row r="3406" spans="1:2">
      <c r="A3406" s="23">
        <v>109770</v>
      </c>
      <c r="B3406" s="1" t="s">
        <v>3468</v>
      </c>
    </row>
    <row r="3407" spans="1:2">
      <c r="A3407" s="23">
        <v>109771</v>
      </c>
      <c r="B3407" s="1" t="s">
        <v>3469</v>
      </c>
    </row>
    <row r="3408" spans="1:2">
      <c r="A3408" s="23">
        <v>109772</v>
      </c>
      <c r="B3408" s="1" t="s">
        <v>3470</v>
      </c>
    </row>
    <row r="3409" spans="1:2">
      <c r="A3409" s="23">
        <v>109773</v>
      </c>
      <c r="B3409" s="1" t="s">
        <v>3471</v>
      </c>
    </row>
    <row r="3410" spans="1:2">
      <c r="A3410" s="23">
        <v>109774</v>
      </c>
      <c r="B3410" s="1" t="s">
        <v>3472</v>
      </c>
    </row>
    <row r="3411" spans="1:2">
      <c r="A3411" s="23">
        <v>109775</v>
      </c>
      <c r="B3411" s="1" t="s">
        <v>3473</v>
      </c>
    </row>
    <row r="3412" spans="1:2">
      <c r="A3412" s="23">
        <v>109776</v>
      </c>
      <c r="B3412" s="1" t="s">
        <v>3474</v>
      </c>
    </row>
    <row r="3413" spans="1:2">
      <c r="A3413" s="23">
        <v>109786</v>
      </c>
      <c r="B3413" s="1" t="s">
        <v>3475</v>
      </c>
    </row>
    <row r="3414" spans="1:2">
      <c r="A3414" s="23">
        <v>109787</v>
      </c>
      <c r="B3414" s="1" t="s">
        <v>3476</v>
      </c>
    </row>
    <row r="3415" spans="1:2">
      <c r="A3415" s="23">
        <v>109843</v>
      </c>
      <c r="B3415" s="1" t="s">
        <v>3477</v>
      </c>
    </row>
    <row r="3416" spans="1:2">
      <c r="A3416" s="23">
        <v>109844</v>
      </c>
      <c r="B3416" s="1" t="s">
        <v>3478</v>
      </c>
    </row>
    <row r="3417" spans="1:2">
      <c r="A3417" s="23">
        <v>109846</v>
      </c>
      <c r="B3417" s="1" t="s">
        <v>3479</v>
      </c>
    </row>
    <row r="3418" spans="1:2">
      <c r="A3418" s="23">
        <v>109847</v>
      </c>
      <c r="B3418" s="1" t="s">
        <v>3480</v>
      </c>
    </row>
    <row r="3419" spans="1:2">
      <c r="A3419" s="23">
        <v>109848</v>
      </c>
      <c r="B3419" s="1" t="s">
        <v>3481</v>
      </c>
    </row>
    <row r="3420" spans="1:2">
      <c r="A3420" s="23">
        <v>109858</v>
      </c>
      <c r="B3420" s="1" t="s">
        <v>3482</v>
      </c>
    </row>
    <row r="3421" spans="1:2">
      <c r="A3421" s="23">
        <v>109864</v>
      </c>
      <c r="B3421" s="1" t="s">
        <v>3483</v>
      </c>
    </row>
    <row r="3422" spans="1:2">
      <c r="A3422" s="23">
        <v>109865</v>
      </c>
      <c r="B3422" s="1" t="s">
        <v>3484</v>
      </c>
    </row>
    <row r="3423" spans="1:2">
      <c r="A3423" s="23">
        <v>109866</v>
      </c>
      <c r="B3423" s="1" t="s">
        <v>3485</v>
      </c>
    </row>
    <row r="3424" spans="1:2">
      <c r="A3424" s="23">
        <v>109867</v>
      </c>
      <c r="B3424" s="1" t="s">
        <v>3486</v>
      </c>
    </row>
    <row r="3425" spans="1:2">
      <c r="A3425" s="23">
        <v>109868</v>
      </c>
      <c r="B3425" s="1" t="s">
        <v>3487</v>
      </c>
    </row>
    <row r="3426" spans="1:2">
      <c r="A3426" s="23">
        <v>109869</v>
      </c>
      <c r="B3426" s="1" t="s">
        <v>3488</v>
      </c>
    </row>
    <row r="3427" spans="1:2">
      <c r="A3427" s="23">
        <v>109870</v>
      </c>
      <c r="B3427" s="1" t="s">
        <v>3489</v>
      </c>
    </row>
    <row r="3428" spans="1:2">
      <c r="A3428" s="23">
        <v>109871</v>
      </c>
      <c r="B3428" s="1" t="s">
        <v>3490</v>
      </c>
    </row>
    <row r="3429" spans="1:2">
      <c r="A3429" s="23">
        <v>109872</v>
      </c>
      <c r="B3429" s="1" t="s">
        <v>3491</v>
      </c>
    </row>
    <row r="3430" spans="1:2">
      <c r="A3430" s="23">
        <v>109873</v>
      </c>
      <c r="B3430" s="1" t="s">
        <v>3492</v>
      </c>
    </row>
    <row r="3431" spans="1:2">
      <c r="A3431" s="23">
        <v>109874</v>
      </c>
      <c r="B3431" s="1" t="s">
        <v>3493</v>
      </c>
    </row>
    <row r="3432" spans="1:2">
      <c r="A3432" s="23">
        <v>109875</v>
      </c>
      <c r="B3432" s="1" t="s">
        <v>3494</v>
      </c>
    </row>
    <row r="3433" spans="1:2">
      <c r="A3433" s="23">
        <v>109876</v>
      </c>
      <c r="B3433" s="1" t="s">
        <v>3495</v>
      </c>
    </row>
    <row r="3434" spans="1:2">
      <c r="A3434" s="23">
        <v>109878</v>
      </c>
      <c r="B3434" s="1" t="s">
        <v>3496</v>
      </c>
    </row>
    <row r="3435" spans="1:2">
      <c r="A3435" s="23">
        <v>109880</v>
      </c>
      <c r="B3435" s="1" t="s">
        <v>3497</v>
      </c>
    </row>
    <row r="3436" spans="1:2">
      <c r="A3436" s="23">
        <v>109892</v>
      </c>
      <c r="B3436" s="1" t="s">
        <v>3498</v>
      </c>
    </row>
    <row r="3437" spans="1:2">
      <c r="A3437" s="23">
        <v>109895</v>
      </c>
      <c r="B3437" s="1" t="s">
        <v>3499</v>
      </c>
    </row>
    <row r="3438" spans="1:2">
      <c r="A3438" s="23">
        <v>109897</v>
      </c>
      <c r="B3438" s="1" t="s">
        <v>3500</v>
      </c>
    </row>
    <row r="3439" spans="1:2">
      <c r="A3439" s="23">
        <v>109899</v>
      </c>
      <c r="B3439" s="1" t="s">
        <v>3501</v>
      </c>
    </row>
    <row r="3440" spans="1:2">
      <c r="A3440" s="23">
        <v>109900</v>
      </c>
      <c r="B3440" s="1" t="s">
        <v>3502</v>
      </c>
    </row>
    <row r="3441" spans="1:2">
      <c r="A3441" s="23">
        <v>109901</v>
      </c>
      <c r="B3441" s="1" t="s">
        <v>3503</v>
      </c>
    </row>
    <row r="3442" spans="1:2">
      <c r="A3442" s="23">
        <v>109902</v>
      </c>
      <c r="B3442" s="1" t="s">
        <v>3504</v>
      </c>
    </row>
    <row r="3443" spans="1:2">
      <c r="A3443" s="23">
        <v>109911</v>
      </c>
      <c r="B3443" s="1" t="s">
        <v>3505</v>
      </c>
    </row>
    <row r="3444" spans="1:2">
      <c r="A3444" s="23">
        <v>109912</v>
      </c>
      <c r="B3444" s="1" t="s">
        <v>3506</v>
      </c>
    </row>
    <row r="3445" spans="1:2">
      <c r="A3445" s="23">
        <v>109913</v>
      </c>
      <c r="B3445" s="1" t="s">
        <v>3507</v>
      </c>
    </row>
    <row r="3446" spans="1:2">
      <c r="A3446" s="23">
        <v>109914</v>
      </c>
      <c r="B3446" s="1" t="s">
        <v>3508</v>
      </c>
    </row>
    <row r="3447" spans="1:2">
      <c r="A3447" s="23">
        <v>109915</v>
      </c>
      <c r="B3447" s="1" t="s">
        <v>3509</v>
      </c>
    </row>
    <row r="3448" spans="1:2">
      <c r="A3448" s="23">
        <v>109916</v>
      </c>
      <c r="B3448" s="1" t="s">
        <v>3510</v>
      </c>
    </row>
    <row r="3449" spans="1:2">
      <c r="A3449" s="23">
        <v>109917</v>
      </c>
      <c r="B3449" s="1" t="s">
        <v>3511</v>
      </c>
    </row>
    <row r="3450" spans="1:2">
      <c r="A3450" s="23">
        <v>109918</v>
      </c>
      <c r="B3450" s="1" t="s">
        <v>3512</v>
      </c>
    </row>
    <row r="3451" spans="1:2">
      <c r="A3451" s="23">
        <v>109919</v>
      </c>
      <c r="B3451" s="1" t="s">
        <v>3513</v>
      </c>
    </row>
    <row r="3452" spans="1:2">
      <c r="A3452" s="23">
        <v>109920</v>
      </c>
      <c r="B3452" s="1" t="s">
        <v>3514</v>
      </c>
    </row>
    <row r="3453" spans="1:2">
      <c r="A3453" s="23">
        <v>109921</v>
      </c>
      <c r="B3453" s="1" t="s">
        <v>3515</v>
      </c>
    </row>
    <row r="3454" spans="1:2">
      <c r="A3454" s="23">
        <v>109922</v>
      </c>
      <c r="B3454" s="1" t="s">
        <v>3516</v>
      </c>
    </row>
    <row r="3455" spans="1:2">
      <c r="A3455" s="23">
        <v>109923</v>
      </c>
      <c r="B3455" s="1" t="s">
        <v>3517</v>
      </c>
    </row>
    <row r="3456" spans="1:2">
      <c r="A3456" s="23">
        <v>109932</v>
      </c>
      <c r="B3456" s="1" t="s">
        <v>3518</v>
      </c>
    </row>
    <row r="3457" spans="1:2">
      <c r="A3457" s="23">
        <v>109933</v>
      </c>
      <c r="B3457" s="1" t="s">
        <v>3519</v>
      </c>
    </row>
    <row r="3458" spans="1:2">
      <c r="A3458" s="23">
        <v>109935</v>
      </c>
      <c r="B3458" s="1" t="s">
        <v>3520</v>
      </c>
    </row>
    <row r="3459" spans="1:2">
      <c r="A3459" s="23">
        <v>109940</v>
      </c>
      <c r="B3459" s="1" t="s">
        <v>3521</v>
      </c>
    </row>
    <row r="3460" spans="1:2">
      <c r="A3460" s="23">
        <v>109941</v>
      </c>
      <c r="B3460" s="1" t="s">
        <v>3522</v>
      </c>
    </row>
    <row r="3461" spans="1:2">
      <c r="A3461" s="23">
        <v>109942</v>
      </c>
      <c r="B3461" s="1" t="s">
        <v>3523</v>
      </c>
    </row>
    <row r="3462" spans="1:2">
      <c r="A3462" s="23">
        <v>109943</v>
      </c>
      <c r="B3462" s="1" t="s">
        <v>3524</v>
      </c>
    </row>
    <row r="3463" spans="1:2">
      <c r="A3463" s="23">
        <v>109944</v>
      </c>
      <c r="B3463" s="1" t="s">
        <v>3525</v>
      </c>
    </row>
    <row r="3464" spans="1:2">
      <c r="A3464" s="23">
        <v>109946</v>
      </c>
      <c r="B3464" s="1" t="s">
        <v>3526</v>
      </c>
    </row>
    <row r="3465" spans="1:2">
      <c r="A3465" s="23">
        <v>109947</v>
      </c>
      <c r="B3465" s="1" t="s">
        <v>3527</v>
      </c>
    </row>
    <row r="3466" spans="1:2">
      <c r="A3466" s="23">
        <v>109948</v>
      </c>
      <c r="B3466" s="1" t="s">
        <v>3528</v>
      </c>
    </row>
    <row r="3467" spans="1:2">
      <c r="A3467" s="23">
        <v>109955</v>
      </c>
      <c r="B3467" s="1" t="s">
        <v>3529</v>
      </c>
    </row>
    <row r="3468" spans="1:2">
      <c r="A3468" s="23">
        <v>109963</v>
      </c>
      <c r="B3468" s="1" t="s">
        <v>3530</v>
      </c>
    </row>
    <row r="3469" spans="1:2">
      <c r="A3469" s="23">
        <v>109967</v>
      </c>
      <c r="B3469" s="1" t="s">
        <v>3531</v>
      </c>
    </row>
    <row r="3470" spans="1:2">
      <c r="A3470" s="23">
        <v>109968</v>
      </c>
      <c r="B3470" s="1" t="s">
        <v>3532</v>
      </c>
    </row>
    <row r="3471" spans="1:2">
      <c r="A3471" s="23">
        <v>109969</v>
      </c>
      <c r="B3471" s="1" t="s">
        <v>3533</v>
      </c>
    </row>
    <row r="3472" spans="1:2">
      <c r="A3472" s="23">
        <v>109973</v>
      </c>
      <c r="B3472" s="1" t="s">
        <v>3534</v>
      </c>
    </row>
    <row r="3473" spans="1:2">
      <c r="A3473" s="23">
        <v>109974</v>
      </c>
      <c r="B3473" s="1" t="s">
        <v>3535</v>
      </c>
    </row>
    <row r="3474" spans="1:2">
      <c r="A3474" s="23">
        <v>110000</v>
      </c>
      <c r="B3474" s="1" t="s">
        <v>3536</v>
      </c>
    </row>
    <row r="3475" spans="1:2">
      <c r="A3475" s="23">
        <v>110001</v>
      </c>
      <c r="B3475" s="1" t="s">
        <v>3537</v>
      </c>
    </row>
    <row r="3476" spans="1:2">
      <c r="A3476" s="23">
        <v>110008</v>
      </c>
      <c r="B3476" s="1" t="s">
        <v>3538</v>
      </c>
    </row>
    <row r="3477" spans="1:2">
      <c r="A3477" s="23">
        <v>110009</v>
      </c>
      <c r="B3477" s="1" t="s">
        <v>3539</v>
      </c>
    </row>
    <row r="3478" spans="1:2">
      <c r="A3478" s="23">
        <v>110010</v>
      </c>
      <c r="B3478" s="1" t="s">
        <v>3540</v>
      </c>
    </row>
    <row r="3479" spans="1:2">
      <c r="A3479" s="23">
        <v>110011</v>
      </c>
      <c r="B3479" s="1" t="s">
        <v>3541</v>
      </c>
    </row>
    <row r="3480" spans="1:2">
      <c r="A3480" s="23">
        <v>110012</v>
      </c>
      <c r="B3480" s="1" t="s">
        <v>3542</v>
      </c>
    </row>
    <row r="3481" spans="1:2">
      <c r="A3481" s="23">
        <v>110021</v>
      </c>
      <c r="B3481" s="1" t="s">
        <v>3543</v>
      </c>
    </row>
    <row r="3482" spans="1:2">
      <c r="A3482" s="23">
        <v>110022</v>
      </c>
      <c r="B3482" s="1" t="s">
        <v>3544</v>
      </c>
    </row>
    <row r="3483" spans="1:2">
      <c r="A3483" s="23">
        <v>110023</v>
      </c>
      <c r="B3483" s="1" t="s">
        <v>3545</v>
      </c>
    </row>
    <row r="3484" spans="1:2">
      <c r="A3484" s="23">
        <v>110024</v>
      </c>
      <c r="B3484" s="1" t="s">
        <v>3546</v>
      </c>
    </row>
    <row r="3485" spans="1:2">
      <c r="A3485" s="23">
        <v>110026</v>
      </c>
      <c r="B3485" s="1" t="s">
        <v>3547</v>
      </c>
    </row>
    <row r="3486" spans="1:2">
      <c r="A3486" s="23">
        <v>110029</v>
      </c>
      <c r="B3486" s="1" t="s">
        <v>3548</v>
      </c>
    </row>
    <row r="3487" spans="1:2">
      <c r="A3487" s="23">
        <v>110030</v>
      </c>
      <c r="B3487" s="1" t="s">
        <v>3549</v>
      </c>
    </row>
    <row r="3488" spans="1:2">
      <c r="A3488" s="23">
        <v>110031</v>
      </c>
      <c r="B3488" s="1" t="s">
        <v>3548</v>
      </c>
    </row>
    <row r="3489" spans="1:2">
      <c r="A3489" s="23">
        <v>110032</v>
      </c>
      <c r="B3489" s="1" t="s">
        <v>3550</v>
      </c>
    </row>
    <row r="3490" spans="1:2">
      <c r="A3490" s="23">
        <v>110033</v>
      </c>
      <c r="B3490" s="1" t="s">
        <v>3551</v>
      </c>
    </row>
    <row r="3491" spans="1:2">
      <c r="A3491" s="23">
        <v>110046</v>
      </c>
      <c r="B3491" s="1" t="s">
        <v>3552</v>
      </c>
    </row>
    <row r="3492" spans="1:2">
      <c r="A3492" s="23">
        <v>110049</v>
      </c>
      <c r="B3492" s="1" t="s">
        <v>3553</v>
      </c>
    </row>
    <row r="3493" spans="1:2">
      <c r="A3493" s="23">
        <v>110050</v>
      </c>
      <c r="B3493" s="1" t="s">
        <v>3554</v>
      </c>
    </row>
    <row r="3494" spans="1:2">
      <c r="A3494" s="23">
        <v>110051</v>
      </c>
      <c r="B3494" s="1" t="s">
        <v>3555</v>
      </c>
    </row>
    <row r="3495" spans="1:2">
      <c r="A3495" s="23">
        <v>110052</v>
      </c>
      <c r="B3495" s="1" t="s">
        <v>3556</v>
      </c>
    </row>
    <row r="3496" spans="1:2">
      <c r="A3496" s="23">
        <v>110053</v>
      </c>
      <c r="B3496" s="1" t="s">
        <v>3557</v>
      </c>
    </row>
    <row r="3497" spans="1:2">
      <c r="A3497" s="23">
        <v>110054</v>
      </c>
      <c r="B3497" s="1" t="s">
        <v>3558</v>
      </c>
    </row>
    <row r="3498" spans="1:2">
      <c r="A3498" s="23">
        <v>110055</v>
      </c>
      <c r="B3498" s="1" t="s">
        <v>3559</v>
      </c>
    </row>
    <row r="3499" spans="1:2">
      <c r="A3499" s="23">
        <v>110056</v>
      </c>
      <c r="B3499" s="1" t="s">
        <v>3560</v>
      </c>
    </row>
    <row r="3500" spans="1:2">
      <c r="A3500" s="23">
        <v>110057</v>
      </c>
      <c r="B3500" s="1" t="s">
        <v>3561</v>
      </c>
    </row>
    <row r="3501" spans="1:2">
      <c r="A3501" s="23">
        <v>110058</v>
      </c>
      <c r="B3501" s="1" t="s">
        <v>3562</v>
      </c>
    </row>
    <row r="3502" spans="1:2">
      <c r="A3502" s="23">
        <v>110059</v>
      </c>
      <c r="B3502" s="1" t="s">
        <v>3563</v>
      </c>
    </row>
    <row r="3503" spans="1:2">
      <c r="A3503" s="23">
        <v>110060</v>
      </c>
      <c r="B3503" s="1" t="s">
        <v>3564</v>
      </c>
    </row>
    <row r="3504" spans="1:2">
      <c r="A3504" s="23">
        <v>110061</v>
      </c>
      <c r="B3504" s="1" t="s">
        <v>3565</v>
      </c>
    </row>
    <row r="3505" spans="1:2">
      <c r="A3505" s="23">
        <v>110062</v>
      </c>
      <c r="B3505" s="1" t="s">
        <v>3566</v>
      </c>
    </row>
    <row r="3506" spans="1:2">
      <c r="A3506" s="23">
        <v>110063</v>
      </c>
      <c r="B3506" s="1" t="s">
        <v>3567</v>
      </c>
    </row>
    <row r="3507" spans="1:2">
      <c r="A3507" s="23">
        <v>110064</v>
      </c>
      <c r="B3507" s="1" t="s">
        <v>3568</v>
      </c>
    </row>
    <row r="3508" spans="1:2">
      <c r="A3508" s="23">
        <v>110065</v>
      </c>
      <c r="B3508" s="1" t="s">
        <v>3569</v>
      </c>
    </row>
    <row r="3509" spans="1:2">
      <c r="A3509" s="23">
        <v>110066</v>
      </c>
      <c r="B3509" s="1" t="s">
        <v>3570</v>
      </c>
    </row>
    <row r="3510" spans="1:2">
      <c r="A3510" s="23">
        <v>110067</v>
      </c>
      <c r="B3510" s="1" t="s">
        <v>3571</v>
      </c>
    </row>
    <row r="3511" spans="1:2">
      <c r="A3511" s="23">
        <v>110068</v>
      </c>
      <c r="B3511" s="1" t="s">
        <v>3572</v>
      </c>
    </row>
    <row r="3512" spans="1:2">
      <c r="A3512" s="23">
        <v>110069</v>
      </c>
      <c r="B3512" s="1" t="s">
        <v>3573</v>
      </c>
    </row>
    <row r="3513" spans="1:2">
      <c r="A3513" s="23">
        <v>110070</v>
      </c>
      <c r="B3513" s="1" t="s">
        <v>3574</v>
      </c>
    </row>
    <row r="3514" spans="1:2">
      <c r="A3514" s="23">
        <v>110071</v>
      </c>
      <c r="B3514" s="1" t="s">
        <v>3575</v>
      </c>
    </row>
    <row r="3515" spans="1:2">
      <c r="A3515" s="23">
        <v>110072</v>
      </c>
      <c r="B3515" s="1" t="s">
        <v>3576</v>
      </c>
    </row>
    <row r="3516" spans="1:2">
      <c r="A3516" s="23">
        <v>110073</v>
      </c>
      <c r="B3516" s="1" t="s">
        <v>3577</v>
      </c>
    </row>
    <row r="3517" spans="1:2">
      <c r="A3517" s="23">
        <v>110074</v>
      </c>
      <c r="B3517" s="1" t="s">
        <v>3578</v>
      </c>
    </row>
    <row r="3518" spans="1:2">
      <c r="A3518" s="23">
        <v>110075</v>
      </c>
      <c r="B3518" s="1" t="s">
        <v>3579</v>
      </c>
    </row>
    <row r="3519" spans="1:2">
      <c r="A3519" s="23">
        <v>110076</v>
      </c>
      <c r="B3519" s="1" t="s">
        <v>3580</v>
      </c>
    </row>
    <row r="3520" spans="1:2">
      <c r="A3520" s="23">
        <v>110077</v>
      </c>
      <c r="B3520" s="1" t="s">
        <v>3581</v>
      </c>
    </row>
    <row r="3521" spans="1:2">
      <c r="A3521" s="23">
        <v>110078</v>
      </c>
      <c r="B3521" s="1" t="s">
        <v>3582</v>
      </c>
    </row>
    <row r="3522" spans="1:2">
      <c r="A3522" s="23">
        <v>110079</v>
      </c>
      <c r="B3522" s="1" t="s">
        <v>3583</v>
      </c>
    </row>
    <row r="3523" spans="1:2">
      <c r="A3523" s="23">
        <v>110080</v>
      </c>
      <c r="B3523" s="1" t="s">
        <v>3584</v>
      </c>
    </row>
    <row r="3524" spans="1:2">
      <c r="A3524" s="23">
        <v>110081</v>
      </c>
      <c r="B3524" s="1" t="s">
        <v>3585</v>
      </c>
    </row>
    <row r="3525" spans="1:2">
      <c r="A3525" s="23">
        <v>110082</v>
      </c>
      <c r="B3525" s="1" t="s">
        <v>3586</v>
      </c>
    </row>
    <row r="3526" spans="1:2">
      <c r="A3526" s="23">
        <v>110083</v>
      </c>
      <c r="B3526" s="1" t="s">
        <v>3587</v>
      </c>
    </row>
    <row r="3527" spans="1:2">
      <c r="A3527" s="23">
        <v>110084</v>
      </c>
      <c r="B3527" s="1" t="s">
        <v>3588</v>
      </c>
    </row>
    <row r="3528" spans="1:2">
      <c r="A3528" s="23">
        <v>110085</v>
      </c>
      <c r="B3528" s="1" t="s">
        <v>3589</v>
      </c>
    </row>
    <row r="3529" spans="1:2">
      <c r="A3529" s="23">
        <v>110086</v>
      </c>
      <c r="B3529" s="1" t="s">
        <v>3590</v>
      </c>
    </row>
    <row r="3530" spans="1:2">
      <c r="A3530" s="23">
        <v>110087</v>
      </c>
      <c r="B3530" s="1" t="s">
        <v>3591</v>
      </c>
    </row>
    <row r="3531" spans="1:2">
      <c r="A3531" s="23">
        <v>110088</v>
      </c>
      <c r="B3531" s="1" t="s">
        <v>3592</v>
      </c>
    </row>
    <row r="3532" spans="1:2">
      <c r="A3532" s="23">
        <v>110089</v>
      </c>
      <c r="B3532" s="1" t="s">
        <v>3593</v>
      </c>
    </row>
    <row r="3533" spans="1:2">
      <c r="A3533" s="23">
        <v>110090</v>
      </c>
      <c r="B3533" s="1" t="s">
        <v>3594</v>
      </c>
    </row>
    <row r="3534" spans="1:2">
      <c r="A3534" s="23">
        <v>110091</v>
      </c>
      <c r="B3534" s="1" t="s">
        <v>3595</v>
      </c>
    </row>
    <row r="3535" spans="1:2">
      <c r="A3535" s="23">
        <v>110092</v>
      </c>
      <c r="B3535" s="1" t="s">
        <v>3596</v>
      </c>
    </row>
    <row r="3536" spans="1:2">
      <c r="A3536" s="23">
        <v>110093</v>
      </c>
      <c r="B3536" s="1" t="s">
        <v>3597</v>
      </c>
    </row>
    <row r="3537" spans="1:2">
      <c r="A3537" s="23">
        <v>110094</v>
      </c>
      <c r="B3537" s="1" t="s">
        <v>3598</v>
      </c>
    </row>
    <row r="3538" spans="1:2">
      <c r="A3538" s="23">
        <v>110095</v>
      </c>
      <c r="B3538" s="1" t="s">
        <v>3599</v>
      </c>
    </row>
    <row r="3539" spans="1:2">
      <c r="A3539" s="23">
        <v>110097</v>
      </c>
      <c r="B3539" s="1" t="s">
        <v>3600</v>
      </c>
    </row>
    <row r="3540" spans="1:2">
      <c r="A3540" s="23">
        <v>110098</v>
      </c>
      <c r="B3540" s="1" t="s">
        <v>3601</v>
      </c>
    </row>
    <row r="3541" spans="1:2">
      <c r="A3541" s="23">
        <v>110099</v>
      </c>
      <c r="B3541" s="1" t="s">
        <v>3602</v>
      </c>
    </row>
    <row r="3542" spans="1:2">
      <c r="A3542" s="23">
        <v>110100</v>
      </c>
      <c r="B3542" s="1" t="s">
        <v>3603</v>
      </c>
    </row>
    <row r="3543" spans="1:2">
      <c r="A3543" s="23">
        <v>110103</v>
      </c>
      <c r="B3543" s="1" t="s">
        <v>3604</v>
      </c>
    </row>
    <row r="3544" spans="1:2">
      <c r="A3544" s="23">
        <v>110104</v>
      </c>
      <c r="B3544" s="1" t="s">
        <v>3605</v>
      </c>
    </row>
    <row r="3545" spans="1:2">
      <c r="A3545" s="23">
        <v>110105</v>
      </c>
      <c r="B3545" s="1" t="s">
        <v>3606</v>
      </c>
    </row>
    <row r="3546" spans="1:2">
      <c r="A3546" s="23">
        <v>110106</v>
      </c>
      <c r="B3546" s="1" t="s">
        <v>3607</v>
      </c>
    </row>
    <row r="3547" spans="1:2">
      <c r="A3547" s="23">
        <v>110107</v>
      </c>
      <c r="B3547" s="1" t="s">
        <v>3608</v>
      </c>
    </row>
    <row r="3548" spans="1:2">
      <c r="A3548" s="23">
        <v>110109</v>
      </c>
      <c r="B3548" s="1" t="s">
        <v>3609</v>
      </c>
    </row>
    <row r="3549" spans="1:2">
      <c r="A3549" s="23">
        <v>110112</v>
      </c>
      <c r="B3549" s="1" t="s">
        <v>3610</v>
      </c>
    </row>
    <row r="3550" spans="1:2">
      <c r="A3550" s="23">
        <v>110113</v>
      </c>
      <c r="B3550" s="1" t="s">
        <v>3611</v>
      </c>
    </row>
    <row r="3551" spans="1:2">
      <c r="A3551" s="23">
        <v>110114</v>
      </c>
      <c r="B3551" s="1" t="s">
        <v>3612</v>
      </c>
    </row>
    <row r="3552" spans="1:2">
      <c r="A3552" s="23">
        <v>110115</v>
      </c>
      <c r="B3552" s="1" t="s">
        <v>3613</v>
      </c>
    </row>
    <row r="3553" spans="1:2">
      <c r="A3553" s="23">
        <v>110116</v>
      </c>
      <c r="B3553" s="1" t="s">
        <v>3614</v>
      </c>
    </row>
    <row r="3554" spans="1:2">
      <c r="A3554" s="23">
        <v>110119</v>
      </c>
      <c r="B3554" s="1" t="s">
        <v>3615</v>
      </c>
    </row>
    <row r="3555" spans="1:2">
      <c r="A3555" s="23">
        <v>110120</v>
      </c>
      <c r="B3555" s="1" t="s">
        <v>3616</v>
      </c>
    </row>
    <row r="3556" spans="1:2">
      <c r="A3556" s="23">
        <v>110121</v>
      </c>
      <c r="B3556" s="1" t="s">
        <v>3617</v>
      </c>
    </row>
    <row r="3557" spans="1:2">
      <c r="A3557" s="23">
        <v>110122</v>
      </c>
      <c r="B3557" s="1" t="s">
        <v>3618</v>
      </c>
    </row>
    <row r="3558" spans="1:2">
      <c r="A3558" s="23">
        <v>110123</v>
      </c>
      <c r="B3558" s="1" t="s">
        <v>3619</v>
      </c>
    </row>
    <row r="3559" spans="1:2">
      <c r="A3559" s="23">
        <v>110124</v>
      </c>
      <c r="B3559" s="1" t="s">
        <v>3620</v>
      </c>
    </row>
    <row r="3560" spans="1:2">
      <c r="A3560" s="23">
        <v>110125</v>
      </c>
      <c r="B3560" s="1" t="s">
        <v>3621</v>
      </c>
    </row>
    <row r="3561" spans="1:2">
      <c r="A3561" s="23">
        <v>110126</v>
      </c>
      <c r="B3561" s="1" t="s">
        <v>3622</v>
      </c>
    </row>
    <row r="3562" spans="1:2">
      <c r="A3562" s="23">
        <v>110127</v>
      </c>
      <c r="B3562" s="1" t="s">
        <v>3623</v>
      </c>
    </row>
    <row r="3563" spans="1:2">
      <c r="A3563" s="23">
        <v>110128</v>
      </c>
      <c r="B3563" s="1" t="s">
        <v>3624</v>
      </c>
    </row>
    <row r="3564" spans="1:2">
      <c r="A3564" s="23">
        <v>110129</v>
      </c>
      <c r="B3564" s="1" t="s">
        <v>3625</v>
      </c>
    </row>
    <row r="3565" spans="1:2">
      <c r="A3565" s="23">
        <v>110130</v>
      </c>
      <c r="B3565" s="1" t="s">
        <v>3626</v>
      </c>
    </row>
    <row r="3566" spans="1:2">
      <c r="A3566" s="23">
        <v>110131</v>
      </c>
      <c r="B3566" s="1" t="s">
        <v>3627</v>
      </c>
    </row>
    <row r="3567" spans="1:2">
      <c r="A3567" s="23">
        <v>110132</v>
      </c>
      <c r="B3567" s="1" t="s">
        <v>3628</v>
      </c>
    </row>
    <row r="3568" spans="1:2">
      <c r="A3568" s="23">
        <v>110133</v>
      </c>
      <c r="B3568" s="1" t="s">
        <v>3629</v>
      </c>
    </row>
    <row r="3569" spans="1:2">
      <c r="A3569" s="23">
        <v>110134</v>
      </c>
      <c r="B3569" s="1" t="s">
        <v>3630</v>
      </c>
    </row>
    <row r="3570" spans="1:2">
      <c r="A3570" s="23">
        <v>110136</v>
      </c>
      <c r="B3570" s="1" t="s">
        <v>3631</v>
      </c>
    </row>
    <row r="3571" spans="1:2">
      <c r="A3571" s="23">
        <v>110146</v>
      </c>
      <c r="B3571" s="1" t="s">
        <v>3632</v>
      </c>
    </row>
    <row r="3572" spans="1:2">
      <c r="A3572" s="23">
        <v>110147</v>
      </c>
      <c r="B3572" s="1" t="s">
        <v>3633</v>
      </c>
    </row>
    <row r="3573" spans="1:2">
      <c r="A3573" s="23">
        <v>110152</v>
      </c>
      <c r="B3573" s="1" t="s">
        <v>3634</v>
      </c>
    </row>
    <row r="3574" spans="1:2">
      <c r="A3574" s="23">
        <v>110156</v>
      </c>
      <c r="B3574" s="1" t="s">
        <v>3635</v>
      </c>
    </row>
    <row r="3575" spans="1:2">
      <c r="A3575" s="23">
        <v>110157</v>
      </c>
      <c r="B3575" s="1" t="s">
        <v>3636</v>
      </c>
    </row>
    <row r="3576" spans="1:2">
      <c r="A3576" s="23">
        <v>110158</v>
      </c>
      <c r="B3576" s="1" t="s">
        <v>3637</v>
      </c>
    </row>
    <row r="3577" spans="1:2">
      <c r="A3577" s="23">
        <v>110159</v>
      </c>
      <c r="B3577" s="1" t="s">
        <v>3638</v>
      </c>
    </row>
    <row r="3578" spans="1:2">
      <c r="A3578" s="23">
        <v>110160</v>
      </c>
      <c r="B3578" s="1" t="s">
        <v>3639</v>
      </c>
    </row>
    <row r="3579" spans="1:2">
      <c r="A3579" s="23">
        <v>110161</v>
      </c>
      <c r="B3579" s="1" t="s">
        <v>3640</v>
      </c>
    </row>
    <row r="3580" spans="1:2">
      <c r="A3580" s="23">
        <v>110162</v>
      </c>
      <c r="B3580" s="1" t="s">
        <v>3641</v>
      </c>
    </row>
    <row r="3581" spans="1:2">
      <c r="A3581" s="23">
        <v>110163</v>
      </c>
      <c r="B3581" s="1" t="s">
        <v>3642</v>
      </c>
    </row>
    <row r="3582" spans="1:2">
      <c r="A3582" s="23">
        <v>110164</v>
      </c>
      <c r="B3582" s="1" t="s">
        <v>3643</v>
      </c>
    </row>
    <row r="3583" spans="1:2">
      <c r="A3583" s="23">
        <v>110165</v>
      </c>
      <c r="B3583" s="1" t="s">
        <v>3644</v>
      </c>
    </row>
    <row r="3584" spans="1:2">
      <c r="A3584" s="23">
        <v>110166</v>
      </c>
      <c r="B3584" s="1" t="s">
        <v>3645</v>
      </c>
    </row>
    <row r="3585" spans="1:2">
      <c r="A3585" s="23">
        <v>110167</v>
      </c>
      <c r="B3585" s="1" t="s">
        <v>3646</v>
      </c>
    </row>
    <row r="3586" spans="1:2">
      <c r="A3586" s="23">
        <v>110168</v>
      </c>
      <c r="B3586" s="1" t="s">
        <v>3647</v>
      </c>
    </row>
    <row r="3587" spans="1:2">
      <c r="A3587" s="23">
        <v>110169</v>
      </c>
      <c r="B3587" s="1" t="s">
        <v>3648</v>
      </c>
    </row>
    <row r="3588" spans="1:2">
      <c r="A3588" s="23">
        <v>110170</v>
      </c>
      <c r="B3588" s="1" t="s">
        <v>3649</v>
      </c>
    </row>
    <row r="3589" spans="1:2">
      <c r="A3589" s="23">
        <v>110171</v>
      </c>
      <c r="B3589" s="1" t="s">
        <v>3650</v>
      </c>
    </row>
    <row r="3590" spans="1:2">
      <c r="A3590" s="23">
        <v>110172</v>
      </c>
      <c r="B3590" s="1" t="s">
        <v>3651</v>
      </c>
    </row>
    <row r="3591" spans="1:2">
      <c r="A3591" s="23">
        <v>110173</v>
      </c>
      <c r="B3591" s="1" t="s">
        <v>3652</v>
      </c>
    </row>
    <row r="3592" spans="1:2">
      <c r="A3592" s="23">
        <v>110174</v>
      </c>
      <c r="B3592" s="1" t="s">
        <v>3653</v>
      </c>
    </row>
    <row r="3593" spans="1:2">
      <c r="A3593" s="23">
        <v>110175</v>
      </c>
      <c r="B3593" s="1" t="s">
        <v>3654</v>
      </c>
    </row>
    <row r="3594" spans="1:2">
      <c r="A3594" s="23">
        <v>110176</v>
      </c>
      <c r="B3594" s="1" t="s">
        <v>3655</v>
      </c>
    </row>
    <row r="3595" spans="1:2">
      <c r="A3595" s="23">
        <v>110177</v>
      </c>
      <c r="B3595" s="1" t="s">
        <v>3656</v>
      </c>
    </row>
    <row r="3596" spans="1:2">
      <c r="A3596" s="23">
        <v>110178</v>
      </c>
      <c r="B3596" s="1" t="s">
        <v>3657</v>
      </c>
    </row>
    <row r="3597" spans="1:2">
      <c r="A3597" s="23">
        <v>110179</v>
      </c>
      <c r="B3597" s="1" t="s">
        <v>3658</v>
      </c>
    </row>
    <row r="3598" spans="1:2">
      <c r="A3598" s="23">
        <v>110180</v>
      </c>
      <c r="B3598" s="1" t="s">
        <v>3659</v>
      </c>
    </row>
    <row r="3599" spans="1:2">
      <c r="A3599" s="23">
        <v>110190</v>
      </c>
      <c r="B3599" s="1" t="s">
        <v>3660</v>
      </c>
    </row>
    <row r="3600" spans="1:2">
      <c r="A3600" s="23">
        <v>110191</v>
      </c>
      <c r="B3600" s="1" t="s">
        <v>3661</v>
      </c>
    </row>
    <row r="3601" spans="1:2">
      <c r="A3601" s="23">
        <v>110192</v>
      </c>
      <c r="B3601" s="1" t="s">
        <v>3662</v>
      </c>
    </row>
    <row r="3602" spans="1:2">
      <c r="A3602" s="23">
        <v>110193</v>
      </c>
      <c r="B3602" s="1" t="s">
        <v>3663</v>
      </c>
    </row>
    <row r="3603" spans="1:2">
      <c r="A3603" s="23">
        <v>110194</v>
      </c>
      <c r="B3603" s="1" t="s">
        <v>3664</v>
      </c>
    </row>
    <row r="3604" spans="1:2">
      <c r="A3604" s="23">
        <v>110195</v>
      </c>
      <c r="B3604" s="1" t="s">
        <v>3665</v>
      </c>
    </row>
    <row r="3605" spans="1:2">
      <c r="A3605" s="23">
        <v>110196</v>
      </c>
      <c r="B3605" s="1" t="s">
        <v>3666</v>
      </c>
    </row>
    <row r="3606" spans="1:2">
      <c r="A3606" s="23">
        <v>110197</v>
      </c>
      <c r="B3606" s="1" t="s">
        <v>3667</v>
      </c>
    </row>
    <row r="3607" spans="1:2">
      <c r="A3607" s="23">
        <v>110198</v>
      </c>
      <c r="B3607" s="1" t="s">
        <v>3668</v>
      </c>
    </row>
    <row r="3608" spans="1:2">
      <c r="A3608" s="23">
        <v>110199</v>
      </c>
      <c r="B3608" s="1" t="s">
        <v>3669</v>
      </c>
    </row>
    <row r="3609" spans="1:2">
      <c r="A3609" s="23">
        <v>110200</v>
      </c>
      <c r="B3609" s="1" t="s">
        <v>3670</v>
      </c>
    </row>
    <row r="3610" spans="1:2">
      <c r="A3610" s="23">
        <v>110201</v>
      </c>
      <c r="B3610" s="1" t="s">
        <v>3671</v>
      </c>
    </row>
    <row r="3611" spans="1:2">
      <c r="A3611" s="23">
        <v>110202</v>
      </c>
      <c r="B3611" s="1" t="s">
        <v>3672</v>
      </c>
    </row>
    <row r="3612" spans="1:2">
      <c r="A3612" s="23">
        <v>110203</v>
      </c>
      <c r="B3612" s="1" t="s">
        <v>3673</v>
      </c>
    </row>
    <row r="3613" spans="1:2">
      <c r="A3613" s="23">
        <v>110204</v>
      </c>
      <c r="B3613" s="1" t="s">
        <v>3674</v>
      </c>
    </row>
    <row r="3614" spans="1:2">
      <c r="A3614" s="23">
        <v>110205</v>
      </c>
      <c r="B3614" s="1" t="s">
        <v>3675</v>
      </c>
    </row>
    <row r="3615" spans="1:2">
      <c r="A3615" s="23">
        <v>110206</v>
      </c>
      <c r="B3615" s="1" t="s">
        <v>3676</v>
      </c>
    </row>
    <row r="3616" spans="1:2">
      <c r="A3616" s="23">
        <v>110207</v>
      </c>
      <c r="B3616" s="1" t="s">
        <v>3677</v>
      </c>
    </row>
    <row r="3617" spans="1:2">
      <c r="A3617" s="23">
        <v>110208</v>
      </c>
      <c r="B3617" s="1" t="s">
        <v>3678</v>
      </c>
    </row>
    <row r="3618" spans="1:2">
      <c r="A3618" s="23">
        <v>110209</v>
      </c>
      <c r="B3618" s="1" t="s">
        <v>3679</v>
      </c>
    </row>
    <row r="3619" spans="1:2">
      <c r="A3619" s="23">
        <v>110210</v>
      </c>
      <c r="B3619" s="1" t="s">
        <v>3680</v>
      </c>
    </row>
    <row r="3620" spans="1:2">
      <c r="A3620" s="23">
        <v>110211</v>
      </c>
      <c r="B3620" s="1" t="s">
        <v>3681</v>
      </c>
    </row>
    <row r="3621" spans="1:2">
      <c r="A3621" s="23">
        <v>110212</v>
      </c>
      <c r="B3621" s="1" t="s">
        <v>3682</v>
      </c>
    </row>
    <row r="3622" spans="1:2">
      <c r="A3622" s="23">
        <v>110213</v>
      </c>
      <c r="B3622" s="1" t="s">
        <v>3683</v>
      </c>
    </row>
    <row r="3623" spans="1:2">
      <c r="A3623" s="23">
        <v>110214</v>
      </c>
      <c r="B3623" s="1" t="s">
        <v>3684</v>
      </c>
    </row>
    <row r="3624" spans="1:2">
      <c r="A3624" s="23">
        <v>110215</v>
      </c>
      <c r="B3624" s="1" t="s">
        <v>3685</v>
      </c>
    </row>
    <row r="3625" spans="1:2">
      <c r="A3625" s="23">
        <v>110216</v>
      </c>
      <c r="B3625" s="1" t="s">
        <v>3686</v>
      </c>
    </row>
    <row r="3626" spans="1:2">
      <c r="A3626" s="23">
        <v>110217</v>
      </c>
      <c r="B3626" s="1" t="s">
        <v>3687</v>
      </c>
    </row>
    <row r="3627" spans="1:2">
      <c r="A3627" s="23">
        <v>110218</v>
      </c>
      <c r="B3627" s="1" t="s">
        <v>3688</v>
      </c>
    </row>
    <row r="3628" spans="1:2">
      <c r="A3628" s="23">
        <v>110219</v>
      </c>
      <c r="B3628" s="1" t="s">
        <v>3689</v>
      </c>
    </row>
    <row r="3629" spans="1:2">
      <c r="A3629" s="23">
        <v>110220</v>
      </c>
      <c r="B3629" s="1" t="s">
        <v>3690</v>
      </c>
    </row>
    <row r="3630" spans="1:2">
      <c r="A3630" s="23">
        <v>110221</v>
      </c>
      <c r="B3630" s="1" t="s">
        <v>3691</v>
      </c>
    </row>
    <row r="3631" spans="1:2">
      <c r="A3631" s="23">
        <v>110222</v>
      </c>
      <c r="B3631" s="1" t="s">
        <v>3692</v>
      </c>
    </row>
    <row r="3632" spans="1:2">
      <c r="A3632" s="23">
        <v>110223</v>
      </c>
      <c r="B3632" s="1" t="s">
        <v>3693</v>
      </c>
    </row>
    <row r="3633" spans="1:2">
      <c r="A3633" s="23">
        <v>110224</v>
      </c>
      <c r="B3633" s="1" t="s">
        <v>3694</v>
      </c>
    </row>
    <row r="3634" spans="1:2">
      <c r="A3634" s="23">
        <v>110225</v>
      </c>
      <c r="B3634" s="1" t="s">
        <v>3695</v>
      </c>
    </row>
    <row r="3635" spans="1:2">
      <c r="A3635" s="23">
        <v>110226</v>
      </c>
      <c r="B3635" s="1" t="s">
        <v>3696</v>
      </c>
    </row>
    <row r="3636" spans="1:2">
      <c r="A3636" s="23">
        <v>110227</v>
      </c>
      <c r="B3636" s="1" t="s">
        <v>3697</v>
      </c>
    </row>
    <row r="3637" spans="1:2">
      <c r="A3637" s="23">
        <v>110228</v>
      </c>
      <c r="B3637" s="1" t="s">
        <v>3698</v>
      </c>
    </row>
    <row r="3638" spans="1:2">
      <c r="A3638" s="23">
        <v>110229</v>
      </c>
      <c r="B3638" s="1" t="s">
        <v>3699</v>
      </c>
    </row>
    <row r="3639" spans="1:2">
      <c r="A3639" s="23">
        <v>110230</v>
      </c>
      <c r="B3639" s="1" t="s">
        <v>3700</v>
      </c>
    </row>
    <row r="3640" spans="1:2">
      <c r="A3640" s="23">
        <v>110231</v>
      </c>
      <c r="B3640" s="1" t="s">
        <v>3701</v>
      </c>
    </row>
    <row r="3641" spans="1:2">
      <c r="A3641" s="23">
        <v>110232</v>
      </c>
      <c r="B3641" s="1" t="s">
        <v>3702</v>
      </c>
    </row>
    <row r="3642" spans="1:2">
      <c r="A3642" s="23">
        <v>110238</v>
      </c>
      <c r="B3642" s="1" t="s">
        <v>3703</v>
      </c>
    </row>
    <row r="3643" spans="1:2">
      <c r="A3643" s="23">
        <v>110249</v>
      </c>
      <c r="B3643" s="1" t="s">
        <v>3704</v>
      </c>
    </row>
    <row r="3644" spans="1:2">
      <c r="A3644" s="23">
        <v>110250</v>
      </c>
      <c r="B3644" s="1" t="s">
        <v>3705</v>
      </c>
    </row>
    <row r="3645" spans="1:2">
      <c r="A3645" s="23">
        <v>110251</v>
      </c>
      <c r="B3645" s="1" t="s">
        <v>3706</v>
      </c>
    </row>
    <row r="3646" spans="1:2">
      <c r="A3646" s="23">
        <v>110252</v>
      </c>
      <c r="B3646" s="1" t="s">
        <v>3707</v>
      </c>
    </row>
    <row r="3647" spans="1:2">
      <c r="A3647" s="23">
        <v>110253</v>
      </c>
      <c r="B3647" s="1" t="s">
        <v>3708</v>
      </c>
    </row>
    <row r="3648" spans="1:2">
      <c r="A3648" s="23">
        <v>110255</v>
      </c>
      <c r="B3648" s="1" t="s">
        <v>3709</v>
      </c>
    </row>
    <row r="3649" spans="1:2">
      <c r="A3649" s="23">
        <v>110256</v>
      </c>
      <c r="B3649" s="1" t="s">
        <v>3710</v>
      </c>
    </row>
    <row r="3650" spans="1:2">
      <c r="A3650" s="23">
        <v>110257</v>
      </c>
      <c r="B3650" s="1" t="s">
        <v>3711</v>
      </c>
    </row>
    <row r="3651" spans="1:2">
      <c r="A3651" s="23">
        <v>110258</v>
      </c>
      <c r="B3651" s="1" t="s">
        <v>3712</v>
      </c>
    </row>
    <row r="3652" spans="1:2">
      <c r="A3652" s="23">
        <v>110260</v>
      </c>
      <c r="B3652" s="1" t="s">
        <v>3713</v>
      </c>
    </row>
    <row r="3653" spans="1:2">
      <c r="A3653" s="23">
        <v>110261</v>
      </c>
      <c r="B3653" s="1" t="s">
        <v>3714</v>
      </c>
    </row>
    <row r="3654" spans="1:2">
      <c r="A3654" s="23">
        <v>110262</v>
      </c>
      <c r="B3654" s="1" t="s">
        <v>3715</v>
      </c>
    </row>
    <row r="3655" spans="1:2">
      <c r="A3655" s="23">
        <v>110263</v>
      </c>
      <c r="B3655" s="1" t="s">
        <v>3716</v>
      </c>
    </row>
    <row r="3656" spans="1:2">
      <c r="A3656" s="23">
        <v>110264</v>
      </c>
      <c r="B3656" s="1" t="s">
        <v>3717</v>
      </c>
    </row>
    <row r="3657" spans="1:2">
      <c r="A3657" s="23">
        <v>110265</v>
      </c>
      <c r="B3657" s="1" t="s">
        <v>3718</v>
      </c>
    </row>
    <row r="3658" spans="1:2">
      <c r="A3658" s="23">
        <v>110268</v>
      </c>
      <c r="B3658" s="1" t="s">
        <v>3719</v>
      </c>
    </row>
    <row r="3659" spans="1:2">
      <c r="A3659" s="23">
        <v>110269</v>
      </c>
      <c r="B3659" s="1" t="s">
        <v>3720</v>
      </c>
    </row>
    <row r="3660" spans="1:2">
      <c r="A3660" s="23">
        <v>110270</v>
      </c>
      <c r="B3660" s="1" t="s">
        <v>3721</v>
      </c>
    </row>
    <row r="3661" spans="1:2">
      <c r="A3661" s="23">
        <v>110271</v>
      </c>
      <c r="B3661" s="1" t="s">
        <v>3722</v>
      </c>
    </row>
    <row r="3662" spans="1:2">
      <c r="A3662" s="23">
        <v>110272</v>
      </c>
      <c r="B3662" s="1" t="s">
        <v>3723</v>
      </c>
    </row>
    <row r="3663" spans="1:2">
      <c r="A3663" s="23">
        <v>110273</v>
      </c>
      <c r="B3663" s="1" t="s">
        <v>3724</v>
      </c>
    </row>
    <row r="3664" spans="1:2">
      <c r="A3664" s="23">
        <v>110274</v>
      </c>
      <c r="B3664" s="1" t="s">
        <v>3725</v>
      </c>
    </row>
    <row r="3665" spans="1:2">
      <c r="A3665" s="23">
        <v>110275</v>
      </c>
      <c r="B3665" s="1" t="s">
        <v>3726</v>
      </c>
    </row>
    <row r="3666" spans="1:2">
      <c r="A3666" s="23">
        <v>110276</v>
      </c>
      <c r="B3666" s="1" t="s">
        <v>3727</v>
      </c>
    </row>
    <row r="3667" spans="1:2">
      <c r="A3667" s="23">
        <v>110277</v>
      </c>
      <c r="B3667" s="1" t="s">
        <v>3728</v>
      </c>
    </row>
    <row r="3668" spans="1:2">
      <c r="A3668" s="23">
        <v>110278</v>
      </c>
      <c r="B3668" s="1" t="s">
        <v>3729</v>
      </c>
    </row>
    <row r="3669" spans="1:2">
      <c r="A3669" s="23">
        <v>110279</v>
      </c>
      <c r="B3669" s="1" t="s">
        <v>3730</v>
      </c>
    </row>
    <row r="3670" spans="1:2">
      <c r="A3670" s="23">
        <v>110280</v>
      </c>
      <c r="B3670" s="1" t="s">
        <v>3731</v>
      </c>
    </row>
    <row r="3671" spans="1:2">
      <c r="A3671" s="23">
        <v>110281</v>
      </c>
      <c r="B3671" s="1" t="s">
        <v>3732</v>
      </c>
    </row>
    <row r="3672" spans="1:2">
      <c r="A3672" s="23">
        <v>110282</v>
      </c>
      <c r="B3672" s="1" t="s">
        <v>3733</v>
      </c>
    </row>
    <row r="3673" spans="1:2">
      <c r="A3673" s="23">
        <v>110283</v>
      </c>
      <c r="B3673" s="1" t="s">
        <v>3734</v>
      </c>
    </row>
    <row r="3674" spans="1:2">
      <c r="A3674" s="23">
        <v>110286</v>
      </c>
      <c r="B3674" s="1" t="s">
        <v>3735</v>
      </c>
    </row>
    <row r="3675" spans="1:2">
      <c r="A3675" s="23">
        <v>110287</v>
      </c>
      <c r="B3675" s="1" t="s">
        <v>3736</v>
      </c>
    </row>
    <row r="3676" spans="1:2">
      <c r="A3676" s="23">
        <v>110288</v>
      </c>
      <c r="B3676" s="1" t="s">
        <v>3737</v>
      </c>
    </row>
    <row r="3677" spans="1:2">
      <c r="A3677" s="23">
        <v>110289</v>
      </c>
      <c r="B3677" s="1" t="s">
        <v>3738</v>
      </c>
    </row>
    <row r="3678" spans="1:2">
      <c r="A3678" s="23">
        <v>110290</v>
      </c>
      <c r="B3678" s="1" t="s">
        <v>3739</v>
      </c>
    </row>
    <row r="3679" spans="1:2">
      <c r="A3679" s="23">
        <v>110291</v>
      </c>
      <c r="B3679" s="1" t="s">
        <v>3740</v>
      </c>
    </row>
    <row r="3680" spans="1:2">
      <c r="A3680" s="23">
        <v>110292</v>
      </c>
      <c r="B3680" s="1" t="s">
        <v>3741</v>
      </c>
    </row>
    <row r="3681" spans="1:2">
      <c r="A3681" s="23">
        <v>110293</v>
      </c>
      <c r="B3681" s="1" t="s">
        <v>3742</v>
      </c>
    </row>
    <row r="3682" spans="1:2">
      <c r="A3682" s="23">
        <v>110294</v>
      </c>
      <c r="B3682" s="1" t="s">
        <v>3743</v>
      </c>
    </row>
    <row r="3683" spans="1:2">
      <c r="A3683" s="23">
        <v>110295</v>
      </c>
      <c r="B3683" s="1" t="s">
        <v>3744</v>
      </c>
    </row>
    <row r="3684" spans="1:2">
      <c r="A3684" s="23">
        <v>110296</v>
      </c>
      <c r="B3684" s="1" t="s">
        <v>3745</v>
      </c>
    </row>
    <row r="3685" spans="1:2">
      <c r="A3685" s="23">
        <v>110297</v>
      </c>
      <c r="B3685" s="1" t="s">
        <v>3746</v>
      </c>
    </row>
    <row r="3686" spans="1:2">
      <c r="A3686" s="23">
        <v>110298</v>
      </c>
      <c r="B3686" s="1" t="s">
        <v>3747</v>
      </c>
    </row>
    <row r="3687" spans="1:2">
      <c r="A3687" s="23">
        <v>110299</v>
      </c>
      <c r="B3687" s="1" t="s">
        <v>3748</v>
      </c>
    </row>
    <row r="3688" spans="1:2">
      <c r="A3688" s="23">
        <v>110300</v>
      </c>
      <c r="B3688" s="1" t="s">
        <v>3749</v>
      </c>
    </row>
    <row r="3689" spans="1:2">
      <c r="A3689" s="23">
        <v>110301</v>
      </c>
      <c r="B3689" s="1" t="s">
        <v>3750</v>
      </c>
    </row>
    <row r="3690" spans="1:2">
      <c r="A3690" s="23">
        <v>110302</v>
      </c>
      <c r="B3690" s="1" t="s">
        <v>3751</v>
      </c>
    </row>
    <row r="3691" spans="1:2">
      <c r="A3691" s="23">
        <v>110303</v>
      </c>
      <c r="B3691" s="1" t="s">
        <v>3752</v>
      </c>
    </row>
    <row r="3692" spans="1:2">
      <c r="A3692" s="23">
        <v>110304</v>
      </c>
      <c r="B3692" s="1" t="s">
        <v>3753</v>
      </c>
    </row>
    <row r="3693" spans="1:2">
      <c r="A3693" s="23">
        <v>110305</v>
      </c>
      <c r="B3693" s="1" t="s">
        <v>3754</v>
      </c>
    </row>
    <row r="3694" spans="1:2">
      <c r="A3694" s="23">
        <v>110306</v>
      </c>
      <c r="B3694" s="1" t="s">
        <v>3755</v>
      </c>
    </row>
    <row r="3695" spans="1:2">
      <c r="A3695" s="23">
        <v>110307</v>
      </c>
      <c r="B3695" s="1" t="s">
        <v>3756</v>
      </c>
    </row>
    <row r="3696" spans="1:2">
      <c r="A3696" s="23">
        <v>110308</v>
      </c>
      <c r="B3696" s="1" t="s">
        <v>3757</v>
      </c>
    </row>
    <row r="3697" spans="1:2">
      <c r="A3697" s="23">
        <v>110309</v>
      </c>
      <c r="B3697" s="1" t="s">
        <v>3758</v>
      </c>
    </row>
    <row r="3698" spans="1:2">
      <c r="A3698" s="23">
        <v>110310</v>
      </c>
      <c r="B3698" s="1" t="s">
        <v>3759</v>
      </c>
    </row>
    <row r="3699" spans="1:2">
      <c r="A3699" s="23">
        <v>110311</v>
      </c>
      <c r="B3699" s="1" t="s">
        <v>3760</v>
      </c>
    </row>
    <row r="3700" spans="1:2">
      <c r="A3700" s="23">
        <v>110312</v>
      </c>
      <c r="B3700" s="1" t="s">
        <v>3761</v>
      </c>
    </row>
    <row r="3701" spans="1:2">
      <c r="A3701" s="23">
        <v>110313</v>
      </c>
      <c r="B3701" s="1" t="s">
        <v>3762</v>
      </c>
    </row>
    <row r="3702" spans="1:2">
      <c r="A3702" s="23">
        <v>110314</v>
      </c>
      <c r="B3702" s="1" t="s">
        <v>3763</v>
      </c>
    </row>
    <row r="3703" spans="1:2">
      <c r="A3703" s="23">
        <v>110315</v>
      </c>
      <c r="B3703" s="1" t="s">
        <v>3764</v>
      </c>
    </row>
    <row r="3704" spans="1:2">
      <c r="A3704" s="23">
        <v>110316</v>
      </c>
      <c r="B3704" s="1" t="s">
        <v>3765</v>
      </c>
    </row>
    <row r="3705" spans="1:2">
      <c r="A3705" s="23">
        <v>110317</v>
      </c>
      <c r="B3705" s="1" t="s">
        <v>3766</v>
      </c>
    </row>
    <row r="3706" spans="1:2">
      <c r="A3706" s="23">
        <v>110318</v>
      </c>
      <c r="B3706" s="1" t="s">
        <v>3767</v>
      </c>
    </row>
    <row r="3707" spans="1:2">
      <c r="A3707" s="23">
        <v>110319</v>
      </c>
      <c r="B3707" s="1" t="s">
        <v>3768</v>
      </c>
    </row>
    <row r="3708" spans="1:2">
      <c r="A3708" s="23">
        <v>110320</v>
      </c>
      <c r="B3708" s="1" t="s">
        <v>3769</v>
      </c>
    </row>
    <row r="3709" spans="1:2">
      <c r="A3709" s="23">
        <v>110321</v>
      </c>
      <c r="B3709" s="1" t="s">
        <v>3770</v>
      </c>
    </row>
    <row r="3710" spans="1:2">
      <c r="A3710" s="23">
        <v>110322</v>
      </c>
      <c r="B3710" s="1" t="s">
        <v>3771</v>
      </c>
    </row>
    <row r="3711" spans="1:2">
      <c r="A3711" s="23">
        <v>110323</v>
      </c>
      <c r="B3711" s="1" t="s">
        <v>3772</v>
      </c>
    </row>
    <row r="3712" spans="1:2">
      <c r="A3712" s="23">
        <v>110324</v>
      </c>
      <c r="B3712" s="1" t="s">
        <v>3773</v>
      </c>
    </row>
    <row r="3713" spans="1:2">
      <c r="A3713" s="23">
        <v>110325</v>
      </c>
      <c r="B3713" s="1" t="s">
        <v>3774</v>
      </c>
    </row>
    <row r="3714" spans="1:2">
      <c r="A3714" s="23">
        <v>110326</v>
      </c>
      <c r="B3714" s="1" t="s">
        <v>3775</v>
      </c>
    </row>
    <row r="3715" spans="1:2">
      <c r="A3715" s="23">
        <v>110327</v>
      </c>
      <c r="B3715" s="1" t="s">
        <v>3776</v>
      </c>
    </row>
    <row r="3716" spans="1:2">
      <c r="A3716" s="23">
        <v>110328</v>
      </c>
      <c r="B3716" s="1" t="s">
        <v>3777</v>
      </c>
    </row>
    <row r="3717" spans="1:2">
      <c r="A3717" s="23">
        <v>110329</v>
      </c>
      <c r="B3717" s="1" t="s">
        <v>3778</v>
      </c>
    </row>
    <row r="3718" spans="1:2">
      <c r="A3718" s="23">
        <v>110330</v>
      </c>
      <c r="B3718" s="1" t="s">
        <v>3779</v>
      </c>
    </row>
    <row r="3719" spans="1:2">
      <c r="A3719" s="23">
        <v>110331</v>
      </c>
      <c r="B3719" s="1" t="s">
        <v>3780</v>
      </c>
    </row>
    <row r="3720" spans="1:2">
      <c r="A3720" s="23">
        <v>110332</v>
      </c>
      <c r="B3720" s="1" t="s">
        <v>3781</v>
      </c>
    </row>
    <row r="3721" spans="1:2">
      <c r="A3721" s="23">
        <v>110333</v>
      </c>
      <c r="B3721" s="1" t="s">
        <v>3782</v>
      </c>
    </row>
    <row r="3722" spans="1:2">
      <c r="A3722" s="23">
        <v>110334</v>
      </c>
      <c r="B3722" s="1" t="s">
        <v>3783</v>
      </c>
    </row>
    <row r="3723" spans="1:2">
      <c r="A3723" s="23">
        <v>110335</v>
      </c>
      <c r="B3723" s="1" t="s">
        <v>3784</v>
      </c>
    </row>
    <row r="3724" spans="1:2">
      <c r="A3724" s="23">
        <v>110336</v>
      </c>
      <c r="B3724" s="1" t="s">
        <v>3785</v>
      </c>
    </row>
    <row r="3725" spans="1:2">
      <c r="A3725" s="23">
        <v>110337</v>
      </c>
      <c r="B3725" s="1" t="s">
        <v>3786</v>
      </c>
    </row>
    <row r="3726" spans="1:2">
      <c r="A3726" s="23">
        <v>110338</v>
      </c>
      <c r="B3726" s="1" t="s">
        <v>3787</v>
      </c>
    </row>
    <row r="3727" spans="1:2">
      <c r="A3727" s="23">
        <v>110339</v>
      </c>
      <c r="B3727" s="1" t="s">
        <v>3788</v>
      </c>
    </row>
    <row r="3728" spans="1:2">
      <c r="A3728" s="23">
        <v>110340</v>
      </c>
      <c r="B3728" s="1" t="s">
        <v>3789</v>
      </c>
    </row>
    <row r="3729" spans="1:2">
      <c r="A3729" s="23">
        <v>110341</v>
      </c>
      <c r="B3729" s="1" t="s">
        <v>3790</v>
      </c>
    </row>
    <row r="3730" spans="1:2">
      <c r="A3730" s="23">
        <v>110342</v>
      </c>
      <c r="B3730" s="1" t="s">
        <v>3791</v>
      </c>
    </row>
    <row r="3731" spans="1:2">
      <c r="A3731" s="23">
        <v>110343</v>
      </c>
      <c r="B3731" s="1" t="s">
        <v>3792</v>
      </c>
    </row>
    <row r="3732" spans="1:2">
      <c r="A3732" s="23">
        <v>110344</v>
      </c>
      <c r="B3732" s="1" t="s">
        <v>3793</v>
      </c>
    </row>
    <row r="3733" spans="1:2">
      <c r="A3733" s="23">
        <v>110345</v>
      </c>
      <c r="B3733" s="1" t="s">
        <v>3794</v>
      </c>
    </row>
    <row r="3734" spans="1:2">
      <c r="A3734" s="23">
        <v>110348</v>
      </c>
      <c r="B3734" s="1" t="s">
        <v>3795</v>
      </c>
    </row>
    <row r="3735" spans="1:2">
      <c r="A3735" s="23">
        <v>110349</v>
      </c>
      <c r="B3735" s="1" t="s">
        <v>3796</v>
      </c>
    </row>
    <row r="3736" spans="1:2">
      <c r="A3736" s="23">
        <v>110350</v>
      </c>
      <c r="B3736" s="1" t="s">
        <v>3797</v>
      </c>
    </row>
    <row r="3737" spans="1:2">
      <c r="A3737" s="23">
        <v>110351</v>
      </c>
      <c r="B3737" s="1" t="s">
        <v>3798</v>
      </c>
    </row>
    <row r="3738" spans="1:2">
      <c r="A3738" s="23">
        <v>110352</v>
      </c>
      <c r="B3738" s="1" t="s">
        <v>3799</v>
      </c>
    </row>
    <row r="3739" spans="1:2">
      <c r="A3739" s="23">
        <v>110353</v>
      </c>
      <c r="B3739" s="1" t="s">
        <v>3800</v>
      </c>
    </row>
    <row r="3740" spans="1:2">
      <c r="A3740" s="23">
        <v>110354</v>
      </c>
      <c r="B3740" s="1" t="s">
        <v>3801</v>
      </c>
    </row>
    <row r="3741" spans="1:2">
      <c r="A3741" s="23">
        <v>110355</v>
      </c>
      <c r="B3741" s="1" t="s">
        <v>3802</v>
      </c>
    </row>
    <row r="3742" spans="1:2">
      <c r="A3742" s="23">
        <v>110356</v>
      </c>
      <c r="B3742" s="1" t="s">
        <v>3803</v>
      </c>
    </row>
    <row r="3743" spans="1:2">
      <c r="A3743" s="23">
        <v>110357</v>
      </c>
      <c r="B3743" s="1" t="s">
        <v>3746</v>
      </c>
    </row>
    <row r="3744" spans="1:2">
      <c r="A3744" s="23">
        <v>110358</v>
      </c>
      <c r="B3744" s="1" t="s">
        <v>3804</v>
      </c>
    </row>
    <row r="3745" spans="1:2">
      <c r="A3745" s="23">
        <v>110359</v>
      </c>
      <c r="B3745" s="1" t="s">
        <v>3805</v>
      </c>
    </row>
    <row r="3746" spans="1:2">
      <c r="A3746" s="23">
        <v>110360</v>
      </c>
      <c r="B3746" s="1" t="s">
        <v>3806</v>
      </c>
    </row>
    <row r="3747" spans="1:2">
      <c r="A3747" s="23">
        <v>110361</v>
      </c>
      <c r="B3747" s="1" t="s">
        <v>3807</v>
      </c>
    </row>
    <row r="3748" spans="1:2">
      <c r="A3748" s="23">
        <v>110362</v>
      </c>
      <c r="B3748" s="1" t="s">
        <v>3808</v>
      </c>
    </row>
    <row r="3749" spans="1:2">
      <c r="A3749" s="23">
        <v>110363</v>
      </c>
      <c r="B3749" s="1" t="s">
        <v>3809</v>
      </c>
    </row>
    <row r="3750" spans="1:2">
      <c r="A3750" s="23">
        <v>110364</v>
      </c>
      <c r="B3750" s="1" t="s">
        <v>3810</v>
      </c>
    </row>
    <row r="3751" spans="1:2">
      <c r="A3751" s="23">
        <v>110366</v>
      </c>
      <c r="B3751" s="1" t="s">
        <v>3811</v>
      </c>
    </row>
    <row r="3752" spans="1:2">
      <c r="A3752" s="23">
        <v>110367</v>
      </c>
      <c r="B3752" s="1" t="s">
        <v>3812</v>
      </c>
    </row>
    <row r="3753" spans="1:2">
      <c r="A3753" s="23">
        <v>110368</v>
      </c>
      <c r="B3753" s="1" t="s">
        <v>3813</v>
      </c>
    </row>
    <row r="3754" spans="1:2">
      <c r="A3754" s="23">
        <v>110369</v>
      </c>
      <c r="B3754" s="1" t="s">
        <v>3814</v>
      </c>
    </row>
    <row r="3755" spans="1:2">
      <c r="A3755" s="23">
        <v>110370</v>
      </c>
      <c r="B3755" s="1" t="s">
        <v>3815</v>
      </c>
    </row>
    <row r="3756" spans="1:2">
      <c r="A3756" s="23">
        <v>110371</v>
      </c>
      <c r="B3756" s="1" t="s">
        <v>3816</v>
      </c>
    </row>
    <row r="3757" spans="1:2">
      <c r="A3757" s="23">
        <v>110372</v>
      </c>
      <c r="B3757" s="1" t="s">
        <v>3817</v>
      </c>
    </row>
    <row r="3758" spans="1:2">
      <c r="A3758" s="23">
        <v>110374</v>
      </c>
      <c r="B3758" s="1" t="s">
        <v>3818</v>
      </c>
    </row>
    <row r="3759" spans="1:2">
      <c r="A3759" s="23">
        <v>110375</v>
      </c>
      <c r="B3759" s="1" t="s">
        <v>3819</v>
      </c>
    </row>
    <row r="3760" spans="1:2">
      <c r="A3760" s="23">
        <v>110376</v>
      </c>
      <c r="B3760" s="1" t="s">
        <v>3820</v>
      </c>
    </row>
    <row r="3761" spans="1:2">
      <c r="A3761" s="23">
        <v>110377</v>
      </c>
      <c r="B3761" s="1" t="s">
        <v>3821</v>
      </c>
    </row>
    <row r="3762" spans="1:2">
      <c r="A3762" s="23">
        <v>110378</v>
      </c>
      <c r="B3762" s="1" t="s">
        <v>3822</v>
      </c>
    </row>
    <row r="3763" spans="1:2">
      <c r="A3763" s="23">
        <v>110379</v>
      </c>
      <c r="B3763" s="1" t="s">
        <v>3823</v>
      </c>
    </row>
    <row r="3764" spans="1:2">
      <c r="A3764" s="23">
        <v>110380</v>
      </c>
      <c r="B3764" s="1" t="s">
        <v>3824</v>
      </c>
    </row>
    <row r="3765" spans="1:2">
      <c r="A3765" s="23">
        <v>110389</v>
      </c>
      <c r="B3765" s="1" t="s">
        <v>3825</v>
      </c>
    </row>
    <row r="3766" spans="1:2">
      <c r="A3766" s="23">
        <v>110399</v>
      </c>
      <c r="B3766" s="1" t="s">
        <v>3826</v>
      </c>
    </row>
    <row r="3767" spans="1:2">
      <c r="A3767" s="23">
        <v>110402</v>
      </c>
      <c r="B3767" s="1" t="s">
        <v>3827</v>
      </c>
    </row>
    <row r="3768" spans="1:2">
      <c r="A3768" s="23">
        <v>110403</v>
      </c>
      <c r="B3768" s="1" t="s">
        <v>3828</v>
      </c>
    </row>
    <row r="3769" spans="1:2">
      <c r="A3769" s="23">
        <v>110404</v>
      </c>
      <c r="B3769" s="1" t="s">
        <v>3829</v>
      </c>
    </row>
    <row r="3770" spans="1:2">
      <c r="A3770" s="23">
        <v>110405</v>
      </c>
      <c r="B3770" s="1" t="s">
        <v>3830</v>
      </c>
    </row>
    <row r="3771" spans="1:2">
      <c r="A3771" s="23">
        <v>110406</v>
      </c>
      <c r="B3771" s="1" t="s">
        <v>3831</v>
      </c>
    </row>
    <row r="3772" spans="1:2">
      <c r="A3772" s="23">
        <v>110407</v>
      </c>
      <c r="B3772" s="1" t="s">
        <v>3832</v>
      </c>
    </row>
    <row r="3773" spans="1:2">
      <c r="A3773" s="23">
        <v>110442</v>
      </c>
      <c r="B3773" s="1" t="s">
        <v>3833</v>
      </c>
    </row>
    <row r="3774" spans="1:2">
      <c r="A3774" s="23">
        <v>110506</v>
      </c>
      <c r="B3774" s="1" t="s">
        <v>3834</v>
      </c>
    </row>
    <row r="3775" spans="1:2">
      <c r="A3775" s="23">
        <v>110507</v>
      </c>
      <c r="B3775" s="1" t="s">
        <v>3835</v>
      </c>
    </row>
    <row r="3776" spans="1:2">
      <c r="A3776" s="23">
        <v>110508</v>
      </c>
      <c r="B3776" s="1" t="s">
        <v>3836</v>
      </c>
    </row>
    <row r="3777" spans="1:2">
      <c r="A3777" s="23">
        <v>110509</v>
      </c>
      <c r="B3777" s="1" t="s">
        <v>3837</v>
      </c>
    </row>
    <row r="3778" spans="1:2">
      <c r="A3778" s="23">
        <v>110510</v>
      </c>
      <c r="B3778" s="1" t="s">
        <v>3838</v>
      </c>
    </row>
    <row r="3779" spans="1:2">
      <c r="A3779" s="23">
        <v>110511</v>
      </c>
      <c r="B3779" s="1" t="s">
        <v>3839</v>
      </c>
    </row>
    <row r="3780" spans="1:2">
      <c r="A3780" s="23">
        <v>110512</v>
      </c>
      <c r="B3780" s="1" t="s">
        <v>3840</v>
      </c>
    </row>
    <row r="3781" spans="1:2">
      <c r="A3781" s="23">
        <v>110517</v>
      </c>
      <c r="B3781" s="1" t="s">
        <v>3841</v>
      </c>
    </row>
    <row r="3782" spans="1:2">
      <c r="A3782" s="23">
        <v>110518</v>
      </c>
      <c r="B3782" s="1" t="s">
        <v>3842</v>
      </c>
    </row>
    <row r="3783" spans="1:2">
      <c r="A3783" s="23">
        <v>110519</v>
      </c>
      <c r="B3783" s="1" t="s">
        <v>3843</v>
      </c>
    </row>
    <row r="3784" spans="1:2">
      <c r="A3784" s="23">
        <v>110525</v>
      </c>
      <c r="B3784" s="1" t="s">
        <v>3844</v>
      </c>
    </row>
    <row r="3785" spans="1:2">
      <c r="A3785" s="23">
        <v>110542</v>
      </c>
      <c r="B3785" s="1" t="s">
        <v>3845</v>
      </c>
    </row>
    <row r="3786" spans="1:2">
      <c r="A3786" s="23">
        <v>110543</v>
      </c>
      <c r="B3786" s="1" t="s">
        <v>3846</v>
      </c>
    </row>
    <row r="3787" spans="1:2">
      <c r="A3787" s="23">
        <v>110544</v>
      </c>
      <c r="B3787" s="1" t="s">
        <v>3847</v>
      </c>
    </row>
    <row r="3788" spans="1:2">
      <c r="A3788" s="23">
        <v>110545</v>
      </c>
      <c r="B3788" s="1" t="s">
        <v>3848</v>
      </c>
    </row>
    <row r="3789" spans="1:2">
      <c r="A3789" s="23">
        <v>110546</v>
      </c>
      <c r="B3789" s="1" t="s">
        <v>3849</v>
      </c>
    </row>
    <row r="3790" spans="1:2">
      <c r="A3790" s="23">
        <v>110547</v>
      </c>
      <c r="B3790" s="1" t="s">
        <v>3850</v>
      </c>
    </row>
    <row r="3791" spans="1:2">
      <c r="A3791" s="23">
        <v>110548</v>
      </c>
      <c r="B3791" s="1" t="s">
        <v>3851</v>
      </c>
    </row>
    <row r="3792" spans="1:2">
      <c r="A3792" s="23">
        <v>110549</v>
      </c>
      <c r="B3792" s="1" t="s">
        <v>3852</v>
      </c>
    </row>
    <row r="3793" spans="1:2">
      <c r="A3793" s="23">
        <v>110550</v>
      </c>
      <c r="B3793" s="1" t="s">
        <v>3853</v>
      </c>
    </row>
    <row r="3794" spans="1:2">
      <c r="A3794" s="23">
        <v>110551</v>
      </c>
      <c r="B3794" s="1" t="s">
        <v>3854</v>
      </c>
    </row>
    <row r="3795" spans="1:2">
      <c r="A3795" s="23">
        <v>110552</v>
      </c>
      <c r="B3795" s="1" t="s">
        <v>3855</v>
      </c>
    </row>
    <row r="3796" spans="1:2">
      <c r="A3796" s="23">
        <v>110574</v>
      </c>
      <c r="B3796" s="1" t="s">
        <v>3856</v>
      </c>
    </row>
    <row r="3797" spans="1:2">
      <c r="A3797" s="23">
        <v>110575</v>
      </c>
      <c r="B3797" s="1" t="s">
        <v>3857</v>
      </c>
    </row>
    <row r="3798" spans="1:2">
      <c r="A3798" s="23">
        <v>110598</v>
      </c>
      <c r="B3798" s="1" t="s">
        <v>3858</v>
      </c>
    </row>
    <row r="3799" spans="1:2">
      <c r="A3799" s="23">
        <v>110599</v>
      </c>
      <c r="B3799" s="1" t="s">
        <v>3859</v>
      </c>
    </row>
    <row r="3800" spans="1:2">
      <c r="A3800" s="23">
        <v>110601</v>
      </c>
      <c r="B3800" s="1" t="s">
        <v>3860</v>
      </c>
    </row>
    <row r="3801" spans="1:2">
      <c r="A3801" s="23">
        <v>110604</v>
      </c>
      <c r="B3801" s="1" t="s">
        <v>3861</v>
      </c>
    </row>
    <row r="3802" spans="1:2">
      <c r="A3802" s="23">
        <v>110616</v>
      </c>
      <c r="B3802" s="1" t="s">
        <v>3862</v>
      </c>
    </row>
    <row r="3803" spans="1:2">
      <c r="A3803" s="23">
        <v>110618</v>
      </c>
      <c r="B3803" s="1" t="s">
        <v>3863</v>
      </c>
    </row>
    <row r="3804" spans="1:2">
      <c r="A3804" s="23">
        <v>110620</v>
      </c>
      <c r="B3804" s="1" t="s">
        <v>3864</v>
      </c>
    </row>
    <row r="3805" spans="1:2">
      <c r="A3805" s="23">
        <v>110624</v>
      </c>
      <c r="B3805" s="1" t="s">
        <v>3865</v>
      </c>
    </row>
    <row r="3806" spans="1:2">
      <c r="A3806" s="23">
        <v>110625</v>
      </c>
      <c r="B3806" s="1" t="s">
        <v>3866</v>
      </c>
    </row>
    <row r="3807" spans="1:2">
      <c r="A3807" s="23">
        <v>110626</v>
      </c>
      <c r="B3807" s="1" t="s">
        <v>3867</v>
      </c>
    </row>
    <row r="3808" spans="1:2">
      <c r="A3808" s="23">
        <v>110627</v>
      </c>
      <c r="B3808" s="1" t="s">
        <v>3868</v>
      </c>
    </row>
    <row r="3809" spans="1:2">
      <c r="A3809" s="23">
        <v>110628</v>
      </c>
      <c r="B3809" s="1" t="s">
        <v>3869</v>
      </c>
    </row>
    <row r="3810" spans="1:2">
      <c r="A3810" s="23">
        <v>110629</v>
      </c>
      <c r="B3810" s="1" t="s">
        <v>3870</v>
      </c>
    </row>
    <row r="3811" spans="1:2">
      <c r="A3811" s="23">
        <v>110631</v>
      </c>
      <c r="B3811" s="1" t="s">
        <v>3871</v>
      </c>
    </row>
    <row r="3812" spans="1:2">
      <c r="A3812" s="23">
        <v>110635</v>
      </c>
      <c r="B3812" s="1" t="s">
        <v>3872</v>
      </c>
    </row>
    <row r="3813" spans="1:2">
      <c r="A3813" s="23">
        <v>110637</v>
      </c>
      <c r="B3813" s="1" t="s">
        <v>3873</v>
      </c>
    </row>
    <row r="3814" spans="1:2">
      <c r="A3814" s="23">
        <v>110639</v>
      </c>
      <c r="B3814" s="1" t="s">
        <v>3874</v>
      </c>
    </row>
    <row r="3815" spans="1:2">
      <c r="A3815" s="23">
        <v>110640</v>
      </c>
      <c r="B3815" s="1" t="s">
        <v>3875</v>
      </c>
    </row>
    <row r="3816" spans="1:2">
      <c r="A3816" s="23">
        <v>110641</v>
      </c>
      <c r="B3816" s="1" t="s">
        <v>3876</v>
      </c>
    </row>
    <row r="3817" spans="1:2">
      <c r="A3817" s="23">
        <v>110672</v>
      </c>
      <c r="B3817" s="1" t="s">
        <v>3877</v>
      </c>
    </row>
    <row r="3818" spans="1:2">
      <c r="A3818" s="23">
        <v>110673</v>
      </c>
      <c r="B3818" s="1" t="s">
        <v>3878</v>
      </c>
    </row>
    <row r="3819" spans="1:2">
      <c r="A3819" s="23">
        <v>110674</v>
      </c>
      <c r="B3819" s="1" t="s">
        <v>3879</v>
      </c>
    </row>
    <row r="3820" spans="1:2">
      <c r="A3820" s="23">
        <v>110675</v>
      </c>
      <c r="B3820" s="1" t="s">
        <v>3880</v>
      </c>
    </row>
    <row r="3821" spans="1:2">
      <c r="A3821" s="23">
        <v>110676</v>
      </c>
      <c r="B3821" s="1" t="s">
        <v>3881</v>
      </c>
    </row>
    <row r="3822" spans="1:2">
      <c r="A3822" s="23">
        <v>110677</v>
      </c>
      <c r="B3822" s="1" t="s">
        <v>3882</v>
      </c>
    </row>
    <row r="3823" spans="1:2">
      <c r="A3823" s="23">
        <v>110678</v>
      </c>
      <c r="B3823" s="1" t="s">
        <v>3883</v>
      </c>
    </row>
    <row r="3824" spans="1:2">
      <c r="A3824" s="23">
        <v>110679</v>
      </c>
      <c r="B3824" s="1" t="s">
        <v>3884</v>
      </c>
    </row>
    <row r="3825" spans="1:2">
      <c r="A3825" s="23">
        <v>110680</v>
      </c>
      <c r="B3825" s="1" t="s">
        <v>3885</v>
      </c>
    </row>
    <row r="3826" spans="1:2">
      <c r="A3826" s="23">
        <v>110681</v>
      </c>
      <c r="B3826" s="1" t="s">
        <v>3886</v>
      </c>
    </row>
    <row r="3827" spans="1:2">
      <c r="A3827" s="23">
        <v>110682</v>
      </c>
      <c r="B3827" s="1" t="s">
        <v>3887</v>
      </c>
    </row>
    <row r="3828" spans="1:2">
      <c r="A3828" s="23">
        <v>110683</v>
      </c>
      <c r="B3828" s="1" t="s">
        <v>3888</v>
      </c>
    </row>
    <row r="3829" spans="1:2">
      <c r="A3829" s="23">
        <v>110684</v>
      </c>
      <c r="B3829" s="1" t="s">
        <v>3889</v>
      </c>
    </row>
    <row r="3830" spans="1:2">
      <c r="A3830" s="23">
        <v>110685</v>
      </c>
      <c r="B3830" s="1" t="s">
        <v>3890</v>
      </c>
    </row>
    <row r="3831" spans="1:2">
      <c r="A3831" s="23">
        <v>110686</v>
      </c>
      <c r="B3831" s="1" t="s">
        <v>3891</v>
      </c>
    </row>
    <row r="3832" spans="1:2">
      <c r="A3832" s="23">
        <v>110687</v>
      </c>
      <c r="B3832" s="1" t="s">
        <v>3892</v>
      </c>
    </row>
    <row r="3833" spans="1:2">
      <c r="A3833" s="23">
        <v>110688</v>
      </c>
      <c r="B3833" s="1" t="s">
        <v>3893</v>
      </c>
    </row>
    <row r="3834" spans="1:2">
      <c r="A3834" s="23">
        <v>110689</v>
      </c>
      <c r="B3834" s="1" t="s">
        <v>3894</v>
      </c>
    </row>
    <row r="3835" spans="1:2">
      <c r="A3835" s="23">
        <v>110690</v>
      </c>
      <c r="B3835" s="1" t="s">
        <v>3895</v>
      </c>
    </row>
    <row r="3836" spans="1:2">
      <c r="A3836" s="23">
        <v>110710</v>
      </c>
      <c r="B3836" s="1" t="s">
        <v>3896</v>
      </c>
    </row>
    <row r="3837" spans="1:2">
      <c r="A3837" s="23">
        <v>110711</v>
      </c>
      <c r="B3837" s="1" t="s">
        <v>3897</v>
      </c>
    </row>
    <row r="3838" spans="1:2">
      <c r="A3838" s="23">
        <v>110712</v>
      </c>
      <c r="B3838" s="1" t="s">
        <v>3898</v>
      </c>
    </row>
    <row r="3839" spans="1:2">
      <c r="A3839" s="23">
        <v>110724</v>
      </c>
      <c r="B3839" s="1" t="s">
        <v>3899</v>
      </c>
    </row>
    <row r="3840" spans="1:2">
      <c r="A3840" s="23">
        <v>110725</v>
      </c>
      <c r="B3840" s="1" t="s">
        <v>3900</v>
      </c>
    </row>
    <row r="3841" spans="1:2">
      <c r="A3841" s="23">
        <v>110726</v>
      </c>
      <c r="B3841" s="1" t="s">
        <v>3901</v>
      </c>
    </row>
    <row r="3842" spans="1:2">
      <c r="A3842" s="23">
        <v>110727</v>
      </c>
      <c r="B3842" s="1" t="s">
        <v>3902</v>
      </c>
    </row>
    <row r="3843" spans="1:2">
      <c r="A3843" s="23">
        <v>110728</v>
      </c>
      <c r="B3843" s="1" t="s">
        <v>3903</v>
      </c>
    </row>
    <row r="3844" spans="1:2">
      <c r="A3844" s="23">
        <v>110729</v>
      </c>
      <c r="B3844" s="1" t="s">
        <v>3904</v>
      </c>
    </row>
    <row r="3845" spans="1:2">
      <c r="A3845" s="23">
        <v>110737</v>
      </c>
      <c r="B3845" s="1" t="s">
        <v>3905</v>
      </c>
    </row>
    <row r="3846" spans="1:2">
      <c r="A3846" s="23">
        <v>110738</v>
      </c>
      <c r="B3846" s="1" t="s">
        <v>3906</v>
      </c>
    </row>
    <row r="3847" spans="1:2">
      <c r="A3847" s="23">
        <v>110754</v>
      </c>
      <c r="B3847" s="1" t="s">
        <v>3907</v>
      </c>
    </row>
    <row r="3848" spans="1:2">
      <c r="A3848" s="23">
        <v>110755</v>
      </c>
      <c r="B3848" s="1" t="s">
        <v>3908</v>
      </c>
    </row>
    <row r="3849" spans="1:2">
      <c r="A3849" s="23">
        <v>110756</v>
      </c>
      <c r="B3849" s="1" t="s">
        <v>3909</v>
      </c>
    </row>
    <row r="3850" spans="1:2">
      <c r="A3850" s="23">
        <v>110757</v>
      </c>
      <c r="B3850" s="1" t="s">
        <v>3910</v>
      </c>
    </row>
    <row r="3851" spans="1:2">
      <c r="A3851" s="23">
        <v>110758</v>
      </c>
      <c r="B3851" s="1" t="s">
        <v>3911</v>
      </c>
    </row>
    <row r="3852" spans="1:2">
      <c r="A3852" s="23">
        <v>110759</v>
      </c>
      <c r="B3852" s="1" t="s">
        <v>3912</v>
      </c>
    </row>
    <row r="3853" spans="1:2">
      <c r="A3853" s="23">
        <v>110760</v>
      </c>
      <c r="B3853" s="1" t="s">
        <v>3913</v>
      </c>
    </row>
    <row r="3854" spans="1:2">
      <c r="A3854" s="23">
        <v>110761</v>
      </c>
      <c r="B3854" s="1" t="s">
        <v>3914</v>
      </c>
    </row>
    <row r="3855" spans="1:2">
      <c r="A3855" s="23">
        <v>110764</v>
      </c>
      <c r="B3855" s="1" t="s">
        <v>3915</v>
      </c>
    </row>
    <row r="3856" spans="1:2">
      <c r="A3856" s="23">
        <v>110765</v>
      </c>
      <c r="B3856" s="1" t="s">
        <v>3916</v>
      </c>
    </row>
    <row r="3857" spans="1:2">
      <c r="A3857" s="23">
        <v>110766</v>
      </c>
      <c r="B3857" s="1" t="s">
        <v>3917</v>
      </c>
    </row>
    <row r="3858" spans="1:2">
      <c r="A3858" s="23">
        <v>110767</v>
      </c>
      <c r="B3858" s="1" t="s">
        <v>3918</v>
      </c>
    </row>
    <row r="3859" spans="1:2">
      <c r="A3859" s="23">
        <v>110768</v>
      </c>
      <c r="B3859" s="1" t="s">
        <v>3919</v>
      </c>
    </row>
    <row r="3860" spans="1:2">
      <c r="A3860" s="23">
        <v>110769</v>
      </c>
      <c r="B3860" s="1" t="s">
        <v>3920</v>
      </c>
    </row>
    <row r="3861" spans="1:2">
      <c r="A3861" s="23">
        <v>110770</v>
      </c>
      <c r="B3861" s="1" t="s">
        <v>3921</v>
      </c>
    </row>
    <row r="3862" spans="1:2">
      <c r="A3862" s="23">
        <v>110771</v>
      </c>
      <c r="B3862" s="1" t="s">
        <v>3922</v>
      </c>
    </row>
    <row r="3863" spans="1:2">
      <c r="A3863" s="23">
        <v>110772</v>
      </c>
      <c r="B3863" s="1" t="s">
        <v>3923</v>
      </c>
    </row>
    <row r="3864" spans="1:2">
      <c r="A3864" s="23">
        <v>110773</v>
      </c>
      <c r="B3864" s="1" t="s">
        <v>3924</v>
      </c>
    </row>
    <row r="3865" spans="1:2">
      <c r="A3865" s="23">
        <v>110774</v>
      </c>
      <c r="B3865" s="1" t="s">
        <v>3925</v>
      </c>
    </row>
    <row r="3866" spans="1:2">
      <c r="A3866" s="23">
        <v>110779</v>
      </c>
      <c r="B3866" s="1" t="s">
        <v>3926</v>
      </c>
    </row>
    <row r="3867" spans="1:2">
      <c r="A3867" s="23">
        <v>110780</v>
      </c>
      <c r="B3867" s="1" t="s">
        <v>3927</v>
      </c>
    </row>
    <row r="3868" spans="1:2">
      <c r="A3868" s="23">
        <v>110781</v>
      </c>
      <c r="B3868" s="1" t="s">
        <v>3928</v>
      </c>
    </row>
    <row r="3869" spans="1:2">
      <c r="A3869" s="23">
        <v>110782</v>
      </c>
      <c r="B3869" s="1" t="s">
        <v>3929</v>
      </c>
    </row>
    <row r="3870" spans="1:2">
      <c r="A3870" s="23">
        <v>110783</v>
      </c>
      <c r="B3870" s="1" t="s">
        <v>3930</v>
      </c>
    </row>
    <row r="3871" spans="1:2">
      <c r="A3871" s="23">
        <v>110784</v>
      </c>
      <c r="B3871" s="1" t="s">
        <v>3931</v>
      </c>
    </row>
    <row r="3872" spans="1:2">
      <c r="A3872" s="23">
        <v>110785</v>
      </c>
      <c r="B3872" s="1" t="s">
        <v>3932</v>
      </c>
    </row>
    <row r="3873" spans="1:2">
      <c r="A3873" s="23">
        <v>110786</v>
      </c>
      <c r="B3873" s="1" t="s">
        <v>3933</v>
      </c>
    </row>
    <row r="3874" spans="1:2">
      <c r="A3874" s="23">
        <v>110787</v>
      </c>
      <c r="B3874" s="1" t="s">
        <v>3934</v>
      </c>
    </row>
    <row r="3875" spans="1:2">
      <c r="A3875" s="23">
        <v>110788</v>
      </c>
      <c r="B3875" s="1" t="s">
        <v>3935</v>
      </c>
    </row>
    <row r="3876" spans="1:2">
      <c r="A3876" s="23">
        <v>110791</v>
      </c>
      <c r="B3876" s="1" t="s">
        <v>3936</v>
      </c>
    </row>
    <row r="3877" spans="1:2">
      <c r="A3877" s="23">
        <v>110792</v>
      </c>
      <c r="B3877" s="1" t="s">
        <v>3937</v>
      </c>
    </row>
    <row r="3878" spans="1:2">
      <c r="A3878" s="23">
        <v>110793</v>
      </c>
      <c r="B3878" s="1" t="s">
        <v>3938</v>
      </c>
    </row>
    <row r="3879" spans="1:2">
      <c r="A3879" s="23">
        <v>110794</v>
      </c>
      <c r="B3879" s="1" t="s">
        <v>3939</v>
      </c>
    </row>
    <row r="3880" spans="1:2">
      <c r="A3880" s="23">
        <v>110795</v>
      </c>
      <c r="B3880" s="1" t="s">
        <v>3940</v>
      </c>
    </row>
    <row r="3881" spans="1:2">
      <c r="A3881" s="23">
        <v>110796</v>
      </c>
      <c r="B3881" s="1" t="s">
        <v>3941</v>
      </c>
    </row>
    <row r="3882" spans="1:2">
      <c r="A3882" s="23">
        <v>110797</v>
      </c>
      <c r="B3882" s="1" t="s">
        <v>3942</v>
      </c>
    </row>
    <row r="3883" spans="1:2">
      <c r="A3883" s="23">
        <v>110798</v>
      </c>
      <c r="B3883" s="1" t="s">
        <v>3943</v>
      </c>
    </row>
    <row r="3884" spans="1:2">
      <c r="A3884" s="23">
        <v>110799</v>
      </c>
      <c r="B3884" s="1" t="s">
        <v>3944</v>
      </c>
    </row>
    <row r="3885" spans="1:2">
      <c r="A3885" s="23">
        <v>110800</v>
      </c>
      <c r="B3885" s="1" t="s">
        <v>3945</v>
      </c>
    </row>
    <row r="3886" spans="1:2">
      <c r="A3886" s="23">
        <v>110801</v>
      </c>
      <c r="B3886" s="1" t="s">
        <v>3946</v>
      </c>
    </row>
    <row r="3887" spans="1:2">
      <c r="A3887" s="23">
        <v>110802</v>
      </c>
      <c r="B3887" s="1" t="s">
        <v>3947</v>
      </c>
    </row>
    <row r="3888" spans="1:2">
      <c r="A3888" s="23">
        <v>110804</v>
      </c>
      <c r="B3888" s="1" t="s">
        <v>3948</v>
      </c>
    </row>
    <row r="3889" spans="1:2">
      <c r="A3889" s="23">
        <v>110805</v>
      </c>
      <c r="B3889" s="1" t="s">
        <v>3949</v>
      </c>
    </row>
    <row r="3890" spans="1:2">
      <c r="A3890" s="23">
        <v>110806</v>
      </c>
      <c r="B3890" s="1" t="s">
        <v>3950</v>
      </c>
    </row>
    <row r="3891" spans="1:2">
      <c r="A3891" s="23">
        <v>110807</v>
      </c>
      <c r="B3891" s="1" t="s">
        <v>3951</v>
      </c>
    </row>
    <row r="3892" spans="1:2">
      <c r="A3892" s="23">
        <v>110808</v>
      </c>
      <c r="B3892" s="1" t="s">
        <v>3952</v>
      </c>
    </row>
    <row r="3893" spans="1:2">
      <c r="A3893" s="23">
        <v>110809</v>
      </c>
      <c r="B3893" s="1" t="s">
        <v>3953</v>
      </c>
    </row>
    <row r="3894" spans="1:2">
      <c r="A3894" s="23">
        <v>110810</v>
      </c>
      <c r="B3894" s="1" t="s">
        <v>3954</v>
      </c>
    </row>
    <row r="3895" spans="1:2">
      <c r="A3895" s="23">
        <v>110812</v>
      </c>
      <c r="B3895" s="1" t="s">
        <v>3955</v>
      </c>
    </row>
    <row r="3896" spans="1:2">
      <c r="A3896" s="23">
        <v>110813</v>
      </c>
      <c r="B3896" s="1" t="s">
        <v>3956</v>
      </c>
    </row>
    <row r="3897" spans="1:2">
      <c r="A3897" s="23">
        <v>110814</v>
      </c>
      <c r="B3897" s="1" t="s">
        <v>3957</v>
      </c>
    </row>
    <row r="3898" spans="1:2">
      <c r="A3898" s="23">
        <v>110817</v>
      </c>
      <c r="B3898" s="1" t="s">
        <v>3958</v>
      </c>
    </row>
    <row r="3899" spans="1:2">
      <c r="A3899" s="23">
        <v>110818</v>
      </c>
      <c r="B3899" s="1" t="s">
        <v>3959</v>
      </c>
    </row>
    <row r="3900" spans="1:2">
      <c r="A3900" s="23">
        <v>110819</v>
      </c>
      <c r="B3900" s="1" t="s">
        <v>3960</v>
      </c>
    </row>
    <row r="3901" spans="1:2">
      <c r="A3901" s="23">
        <v>110820</v>
      </c>
      <c r="B3901" s="1" t="s">
        <v>3961</v>
      </c>
    </row>
    <row r="3902" spans="1:2">
      <c r="A3902" s="23">
        <v>110821</v>
      </c>
      <c r="B3902" s="1" t="s">
        <v>3962</v>
      </c>
    </row>
    <row r="3903" spans="1:2">
      <c r="A3903" s="23">
        <v>110822</v>
      </c>
      <c r="B3903" s="1" t="s">
        <v>3963</v>
      </c>
    </row>
    <row r="3904" spans="1:2">
      <c r="A3904" s="23">
        <v>110823</v>
      </c>
      <c r="B3904" s="1" t="s">
        <v>3964</v>
      </c>
    </row>
    <row r="3905" spans="1:2">
      <c r="A3905" s="23">
        <v>110825</v>
      </c>
      <c r="B3905" s="1" t="s">
        <v>3965</v>
      </c>
    </row>
    <row r="3906" spans="1:2">
      <c r="A3906" s="23">
        <v>110826</v>
      </c>
      <c r="B3906" s="1" t="s">
        <v>3966</v>
      </c>
    </row>
    <row r="3907" spans="1:2">
      <c r="A3907" s="23">
        <v>110827</v>
      </c>
      <c r="B3907" s="1" t="s">
        <v>3967</v>
      </c>
    </row>
    <row r="3908" spans="1:2">
      <c r="A3908" s="23">
        <v>110828</v>
      </c>
      <c r="B3908" s="1" t="s">
        <v>3968</v>
      </c>
    </row>
    <row r="3909" spans="1:2">
      <c r="A3909" s="23">
        <v>110841</v>
      </c>
      <c r="B3909" s="1" t="s">
        <v>3969</v>
      </c>
    </row>
    <row r="3910" spans="1:2">
      <c r="A3910" s="23">
        <v>110842</v>
      </c>
      <c r="B3910" s="1" t="s">
        <v>3970</v>
      </c>
    </row>
    <row r="3911" spans="1:2">
      <c r="A3911" s="23">
        <v>110844</v>
      </c>
      <c r="B3911" s="1" t="s">
        <v>3971</v>
      </c>
    </row>
    <row r="3912" spans="1:2">
      <c r="A3912" s="23">
        <v>110845</v>
      </c>
      <c r="B3912" s="1" t="s">
        <v>3972</v>
      </c>
    </row>
    <row r="3913" spans="1:2">
      <c r="A3913" s="23">
        <v>110846</v>
      </c>
      <c r="B3913" s="1" t="s">
        <v>3973</v>
      </c>
    </row>
    <row r="3914" spans="1:2">
      <c r="A3914" s="23">
        <v>110849</v>
      </c>
      <c r="B3914" s="1" t="s">
        <v>3974</v>
      </c>
    </row>
    <row r="3915" spans="1:2">
      <c r="A3915" s="23">
        <v>110851</v>
      </c>
      <c r="B3915" s="1" t="s">
        <v>3975</v>
      </c>
    </row>
    <row r="3916" spans="1:2">
      <c r="A3916" s="23">
        <v>110852</v>
      </c>
      <c r="B3916" s="1" t="s">
        <v>3976</v>
      </c>
    </row>
    <row r="3917" spans="1:2">
      <c r="A3917" s="23">
        <v>110853</v>
      </c>
      <c r="B3917" s="1" t="s">
        <v>3977</v>
      </c>
    </row>
    <row r="3918" spans="1:2">
      <c r="A3918" s="23">
        <v>110861</v>
      </c>
      <c r="B3918" s="1" t="s">
        <v>3978</v>
      </c>
    </row>
    <row r="3919" spans="1:2">
      <c r="A3919" s="23">
        <v>110862</v>
      </c>
      <c r="B3919" s="1" t="s">
        <v>3979</v>
      </c>
    </row>
    <row r="3920" spans="1:2">
      <c r="A3920" s="23">
        <v>110863</v>
      </c>
      <c r="B3920" s="1" t="s">
        <v>3980</v>
      </c>
    </row>
    <row r="3921" spans="1:2">
      <c r="A3921" s="23">
        <v>110864</v>
      </c>
      <c r="B3921" s="1" t="s">
        <v>3981</v>
      </c>
    </row>
    <row r="3922" spans="1:2">
      <c r="A3922" s="23">
        <v>110865</v>
      </c>
      <c r="B3922" s="1" t="s">
        <v>3982</v>
      </c>
    </row>
    <row r="3923" spans="1:2">
      <c r="A3923" s="23">
        <v>110866</v>
      </c>
      <c r="B3923" s="1" t="s">
        <v>3983</v>
      </c>
    </row>
    <row r="3924" spans="1:2">
      <c r="A3924" s="23">
        <v>110867</v>
      </c>
      <c r="B3924" s="1" t="s">
        <v>3984</v>
      </c>
    </row>
    <row r="3925" spans="1:2">
      <c r="A3925" s="23">
        <v>110868</v>
      </c>
      <c r="B3925" s="1" t="s">
        <v>3985</v>
      </c>
    </row>
    <row r="3926" spans="1:2">
      <c r="A3926" s="23">
        <v>110869</v>
      </c>
      <c r="B3926" s="1" t="s">
        <v>3986</v>
      </c>
    </row>
    <row r="3927" spans="1:2">
      <c r="A3927" s="23">
        <v>110870</v>
      </c>
      <c r="B3927" s="1" t="s">
        <v>3987</v>
      </c>
    </row>
    <row r="3928" spans="1:2">
      <c r="A3928" s="23">
        <v>110871</v>
      </c>
      <c r="B3928" s="1" t="s">
        <v>3988</v>
      </c>
    </row>
    <row r="3929" spans="1:2">
      <c r="A3929" s="23">
        <v>110872</v>
      </c>
      <c r="B3929" s="1" t="s">
        <v>3989</v>
      </c>
    </row>
    <row r="3930" spans="1:2">
      <c r="A3930" s="23">
        <v>110873</v>
      </c>
      <c r="B3930" s="1" t="s">
        <v>3990</v>
      </c>
    </row>
    <row r="3931" spans="1:2">
      <c r="A3931" s="23">
        <v>110874</v>
      </c>
      <c r="B3931" s="1" t="s">
        <v>3991</v>
      </c>
    </row>
    <row r="3932" spans="1:2">
      <c r="A3932" s="23">
        <v>110875</v>
      </c>
      <c r="B3932" s="1" t="s">
        <v>3992</v>
      </c>
    </row>
    <row r="3933" spans="1:2">
      <c r="A3933" s="23">
        <v>110876</v>
      </c>
      <c r="B3933" s="1" t="s">
        <v>3993</v>
      </c>
    </row>
    <row r="3934" spans="1:2">
      <c r="A3934" s="23">
        <v>110878</v>
      </c>
      <c r="B3934" s="1" t="s">
        <v>3994</v>
      </c>
    </row>
    <row r="3935" spans="1:2">
      <c r="A3935" s="23">
        <v>110885</v>
      </c>
      <c r="B3935" s="1" t="s">
        <v>3995</v>
      </c>
    </row>
    <row r="3936" spans="1:2">
      <c r="A3936" s="23">
        <v>110886</v>
      </c>
      <c r="B3936" s="1" t="s">
        <v>3996</v>
      </c>
    </row>
    <row r="3937" spans="1:2">
      <c r="A3937" s="23">
        <v>110887</v>
      </c>
      <c r="B3937" s="1" t="s">
        <v>3997</v>
      </c>
    </row>
    <row r="3938" spans="1:2">
      <c r="A3938" s="23">
        <v>110888</v>
      </c>
      <c r="B3938" s="1" t="s">
        <v>3998</v>
      </c>
    </row>
    <row r="3939" spans="1:2">
      <c r="A3939" s="23">
        <v>110889</v>
      </c>
      <c r="B3939" s="1" t="s">
        <v>3999</v>
      </c>
    </row>
    <row r="3940" spans="1:2">
      <c r="A3940" s="23">
        <v>110890</v>
      </c>
      <c r="B3940" s="1" t="s">
        <v>4000</v>
      </c>
    </row>
    <row r="3941" spans="1:2">
      <c r="A3941" s="23">
        <v>110891</v>
      </c>
      <c r="B3941" s="1" t="s">
        <v>4001</v>
      </c>
    </row>
    <row r="3942" spans="1:2">
      <c r="A3942" s="23">
        <v>110892</v>
      </c>
      <c r="B3942" s="1" t="s">
        <v>4002</v>
      </c>
    </row>
    <row r="3943" spans="1:2">
      <c r="A3943" s="23">
        <v>110893</v>
      </c>
      <c r="B3943" s="1" t="s">
        <v>4003</v>
      </c>
    </row>
    <row r="3944" spans="1:2">
      <c r="A3944" s="23">
        <v>110894</v>
      </c>
      <c r="B3944" s="1" t="s">
        <v>4004</v>
      </c>
    </row>
    <row r="3945" spans="1:2">
      <c r="A3945" s="23">
        <v>110895</v>
      </c>
      <c r="B3945" s="1" t="s">
        <v>4005</v>
      </c>
    </row>
    <row r="3946" spans="1:2">
      <c r="A3946" s="23">
        <v>110896</v>
      </c>
      <c r="B3946" s="1" t="s">
        <v>4006</v>
      </c>
    </row>
    <row r="3947" spans="1:2">
      <c r="A3947" s="23">
        <v>110900</v>
      </c>
      <c r="B3947" s="1" t="s">
        <v>4007</v>
      </c>
    </row>
    <row r="3948" spans="1:2">
      <c r="A3948" s="23">
        <v>110905</v>
      </c>
      <c r="B3948" s="1" t="s">
        <v>4008</v>
      </c>
    </row>
    <row r="3949" spans="1:2">
      <c r="A3949" s="23">
        <v>110909</v>
      </c>
      <c r="B3949" s="1" t="s">
        <v>4009</v>
      </c>
    </row>
    <row r="3950" spans="1:2">
      <c r="A3950" s="23">
        <v>110911</v>
      </c>
      <c r="B3950" s="1" t="s">
        <v>4010</v>
      </c>
    </row>
    <row r="3951" spans="1:2">
      <c r="A3951" s="23">
        <v>110912</v>
      </c>
      <c r="B3951" s="1" t="s">
        <v>4011</v>
      </c>
    </row>
    <row r="3952" spans="1:2">
      <c r="A3952" s="23">
        <v>110913</v>
      </c>
      <c r="B3952" s="1" t="s">
        <v>4012</v>
      </c>
    </row>
    <row r="3953" spans="1:2">
      <c r="A3953" s="23">
        <v>110914</v>
      </c>
      <c r="B3953" s="1" t="s">
        <v>4013</v>
      </c>
    </row>
    <row r="3954" spans="1:2">
      <c r="A3954" s="23">
        <v>110915</v>
      </c>
      <c r="B3954" s="1" t="s">
        <v>4014</v>
      </c>
    </row>
    <row r="3955" spans="1:2">
      <c r="A3955" s="23">
        <v>110941</v>
      </c>
      <c r="B3955" s="1" t="s">
        <v>4015</v>
      </c>
    </row>
    <row r="3956" spans="1:2">
      <c r="A3956" s="23">
        <v>110942</v>
      </c>
      <c r="B3956" s="1" t="s">
        <v>4016</v>
      </c>
    </row>
    <row r="3957" spans="1:2">
      <c r="A3957" s="23">
        <v>110943</v>
      </c>
      <c r="B3957" s="1" t="s">
        <v>4017</v>
      </c>
    </row>
    <row r="3958" spans="1:2">
      <c r="A3958" s="23">
        <v>110944</v>
      </c>
      <c r="B3958" s="1" t="s">
        <v>4018</v>
      </c>
    </row>
    <row r="3959" spans="1:2">
      <c r="A3959" s="23">
        <v>110945</v>
      </c>
      <c r="B3959" s="1" t="s">
        <v>4019</v>
      </c>
    </row>
    <row r="3960" spans="1:2">
      <c r="A3960" s="23">
        <v>110946</v>
      </c>
      <c r="B3960" s="1" t="s">
        <v>4020</v>
      </c>
    </row>
    <row r="3961" spans="1:2">
      <c r="A3961" s="23">
        <v>110966</v>
      </c>
      <c r="B3961" s="1" t="s">
        <v>4021</v>
      </c>
    </row>
    <row r="3962" spans="1:2">
      <c r="A3962" s="23">
        <v>110967</v>
      </c>
      <c r="B3962" s="1" t="s">
        <v>4022</v>
      </c>
    </row>
    <row r="3963" spans="1:2">
      <c r="A3963" s="23">
        <v>110968</v>
      </c>
      <c r="B3963" s="1" t="s">
        <v>4023</v>
      </c>
    </row>
    <row r="3964" spans="1:2">
      <c r="A3964" s="23">
        <v>110969</v>
      </c>
      <c r="B3964" s="1" t="s">
        <v>4024</v>
      </c>
    </row>
    <row r="3965" spans="1:2">
      <c r="A3965" s="23">
        <v>110970</v>
      </c>
      <c r="B3965" s="1" t="s">
        <v>4025</v>
      </c>
    </row>
    <row r="3966" spans="1:2">
      <c r="A3966" s="23">
        <v>110971</v>
      </c>
      <c r="B3966" s="1" t="s">
        <v>4026</v>
      </c>
    </row>
    <row r="3967" spans="1:2">
      <c r="A3967" s="23">
        <v>110972</v>
      </c>
      <c r="B3967" s="1" t="s">
        <v>4027</v>
      </c>
    </row>
    <row r="3968" spans="1:2">
      <c r="A3968" s="23">
        <v>110973</v>
      </c>
      <c r="B3968" s="1" t="s">
        <v>4028</v>
      </c>
    </row>
    <row r="3969" spans="1:2">
      <c r="A3969" s="23">
        <v>110974</v>
      </c>
      <c r="B3969" s="1" t="s">
        <v>4029</v>
      </c>
    </row>
    <row r="3970" spans="1:2">
      <c r="A3970" s="23">
        <v>110977</v>
      </c>
      <c r="B3970" s="1" t="s">
        <v>4030</v>
      </c>
    </row>
    <row r="3971" spans="1:2">
      <c r="A3971" s="23">
        <v>110978</v>
      </c>
      <c r="B3971" s="1" t="s">
        <v>4031</v>
      </c>
    </row>
    <row r="3972" spans="1:2">
      <c r="A3972" s="23">
        <v>110979</v>
      </c>
      <c r="B3972" s="1" t="s">
        <v>4032</v>
      </c>
    </row>
    <row r="3973" spans="1:2">
      <c r="A3973" s="23">
        <v>110980</v>
      </c>
      <c r="B3973" s="1" t="s">
        <v>4033</v>
      </c>
    </row>
    <row r="3974" spans="1:2">
      <c r="A3974" s="23">
        <v>110981</v>
      </c>
      <c r="B3974" s="1" t="s">
        <v>4034</v>
      </c>
    </row>
    <row r="3975" spans="1:2">
      <c r="A3975" s="23">
        <v>110982</v>
      </c>
      <c r="B3975" s="1" t="s">
        <v>4035</v>
      </c>
    </row>
    <row r="3976" spans="1:2">
      <c r="A3976" s="23">
        <v>110983</v>
      </c>
      <c r="B3976" s="1" t="s">
        <v>4036</v>
      </c>
    </row>
    <row r="3977" spans="1:2">
      <c r="A3977" s="23">
        <v>110984</v>
      </c>
      <c r="B3977" s="1" t="s">
        <v>4037</v>
      </c>
    </row>
    <row r="3978" spans="1:2">
      <c r="A3978" s="23">
        <v>110985</v>
      </c>
      <c r="B3978" s="1" t="s">
        <v>4038</v>
      </c>
    </row>
    <row r="3979" spans="1:2">
      <c r="A3979" s="23">
        <v>111030</v>
      </c>
      <c r="B3979" s="1" t="s">
        <v>4039</v>
      </c>
    </row>
    <row r="3980" spans="1:2">
      <c r="A3980" s="23">
        <v>111031</v>
      </c>
      <c r="B3980" s="1" t="s">
        <v>4040</v>
      </c>
    </row>
    <row r="3981" spans="1:2">
      <c r="A3981" s="23">
        <v>111032</v>
      </c>
      <c r="B3981" s="1" t="s">
        <v>4041</v>
      </c>
    </row>
    <row r="3982" spans="1:2">
      <c r="A3982" s="23">
        <v>111033</v>
      </c>
      <c r="B3982" s="1" t="s">
        <v>4042</v>
      </c>
    </row>
    <row r="3983" spans="1:2">
      <c r="A3983" s="23">
        <v>111034</v>
      </c>
      <c r="B3983" s="1" t="s">
        <v>4043</v>
      </c>
    </row>
    <row r="3984" spans="1:2">
      <c r="A3984" s="23">
        <v>111035</v>
      </c>
      <c r="B3984" s="1" t="s">
        <v>4044</v>
      </c>
    </row>
    <row r="3985" spans="1:2">
      <c r="A3985" s="23">
        <v>111036</v>
      </c>
      <c r="B3985" s="1" t="s">
        <v>4045</v>
      </c>
    </row>
    <row r="3986" spans="1:2">
      <c r="A3986" s="23">
        <v>111037</v>
      </c>
      <c r="B3986" s="1" t="s">
        <v>4046</v>
      </c>
    </row>
    <row r="3987" spans="1:2">
      <c r="A3987" s="23">
        <v>111038</v>
      </c>
      <c r="B3987" s="1" t="s">
        <v>4047</v>
      </c>
    </row>
    <row r="3988" spans="1:2">
      <c r="A3988" s="23">
        <v>111084</v>
      </c>
      <c r="B3988" s="1" t="s">
        <v>4048</v>
      </c>
    </row>
    <row r="3989" spans="1:2">
      <c r="A3989" s="23">
        <v>111086</v>
      </c>
      <c r="B3989" s="1" t="s">
        <v>4049</v>
      </c>
    </row>
    <row r="3990" spans="1:2">
      <c r="A3990" s="23">
        <v>111087</v>
      </c>
      <c r="B3990" s="1" t="s">
        <v>4050</v>
      </c>
    </row>
    <row r="3991" spans="1:2">
      <c r="A3991" s="23">
        <v>111089</v>
      </c>
      <c r="B3991" s="1" t="s">
        <v>4051</v>
      </c>
    </row>
    <row r="3992" spans="1:2">
      <c r="A3992" s="23">
        <v>111112</v>
      </c>
      <c r="B3992" s="1" t="s">
        <v>4052</v>
      </c>
    </row>
    <row r="3993" spans="1:2">
      <c r="A3993" s="23">
        <v>111113</v>
      </c>
      <c r="B3993" s="1" t="s">
        <v>4053</v>
      </c>
    </row>
    <row r="3994" spans="1:2">
      <c r="A3994" s="23">
        <v>111114</v>
      </c>
      <c r="B3994" s="1" t="s">
        <v>4054</v>
      </c>
    </row>
    <row r="3995" spans="1:2">
      <c r="A3995" s="23">
        <v>111115</v>
      </c>
      <c r="B3995" s="1" t="s">
        <v>4055</v>
      </c>
    </row>
    <row r="3996" spans="1:2">
      <c r="A3996" s="23">
        <v>111128</v>
      </c>
      <c r="B3996" s="1" t="s">
        <v>4056</v>
      </c>
    </row>
    <row r="3997" spans="1:2">
      <c r="A3997" s="23">
        <v>111130</v>
      </c>
      <c r="B3997" s="1" t="s">
        <v>4057</v>
      </c>
    </row>
    <row r="3998" spans="1:2">
      <c r="A3998" s="23">
        <v>111131</v>
      </c>
      <c r="B3998" s="1" t="s">
        <v>4058</v>
      </c>
    </row>
    <row r="3999" spans="1:2">
      <c r="A3999" s="23">
        <v>111132</v>
      </c>
      <c r="B3999" s="1" t="s">
        <v>4059</v>
      </c>
    </row>
    <row r="4000" spans="1:2">
      <c r="A4000" s="23">
        <v>111134</v>
      </c>
      <c r="B4000" s="1" t="s">
        <v>4060</v>
      </c>
    </row>
    <row r="4001" spans="1:2">
      <c r="A4001" s="23">
        <v>111135</v>
      </c>
      <c r="B4001" s="1" t="s">
        <v>4061</v>
      </c>
    </row>
    <row r="4002" spans="1:2">
      <c r="A4002" s="23">
        <v>111136</v>
      </c>
      <c r="B4002" s="1" t="s">
        <v>4062</v>
      </c>
    </row>
    <row r="4003" spans="1:2">
      <c r="A4003" s="23">
        <v>111139</v>
      </c>
      <c r="B4003" s="1" t="s">
        <v>4063</v>
      </c>
    </row>
    <row r="4004" spans="1:2">
      <c r="A4004" s="23">
        <v>111140</v>
      </c>
      <c r="B4004" s="1" t="s">
        <v>4064</v>
      </c>
    </row>
    <row r="4005" spans="1:2">
      <c r="A4005" s="23">
        <v>111141</v>
      </c>
      <c r="B4005" s="1" t="s">
        <v>4065</v>
      </c>
    </row>
    <row r="4006" spans="1:2">
      <c r="A4006" s="23">
        <v>111142</v>
      </c>
      <c r="B4006" s="1" t="s">
        <v>4066</v>
      </c>
    </row>
    <row r="4007" spans="1:2">
      <c r="A4007" s="23">
        <v>111143</v>
      </c>
      <c r="B4007" s="1" t="s">
        <v>4067</v>
      </c>
    </row>
    <row r="4008" spans="1:2">
      <c r="A4008" s="23">
        <v>111144</v>
      </c>
      <c r="B4008" s="1" t="s">
        <v>4068</v>
      </c>
    </row>
    <row r="4009" spans="1:2">
      <c r="A4009" s="23">
        <v>111159</v>
      </c>
      <c r="B4009" s="1" t="s">
        <v>4069</v>
      </c>
    </row>
    <row r="4010" spans="1:2">
      <c r="A4010" s="23">
        <v>111168</v>
      </c>
      <c r="B4010" s="1" t="s">
        <v>4070</v>
      </c>
    </row>
    <row r="4011" spans="1:2">
      <c r="A4011" s="23">
        <v>111174</v>
      </c>
      <c r="B4011" s="1" t="s">
        <v>4071</v>
      </c>
    </row>
    <row r="4012" spans="1:2">
      <c r="A4012" s="23">
        <v>111176</v>
      </c>
      <c r="B4012" s="1" t="s">
        <v>4072</v>
      </c>
    </row>
    <row r="4013" spans="1:2">
      <c r="A4013" s="23">
        <v>111177</v>
      </c>
      <c r="B4013" s="1" t="s">
        <v>4073</v>
      </c>
    </row>
    <row r="4014" spans="1:2">
      <c r="A4014" s="23">
        <v>111178</v>
      </c>
      <c r="B4014" s="1" t="s">
        <v>4074</v>
      </c>
    </row>
    <row r="4015" spans="1:2">
      <c r="A4015" s="23">
        <v>111179</v>
      </c>
      <c r="B4015" s="1" t="s">
        <v>4075</v>
      </c>
    </row>
    <row r="4016" spans="1:2">
      <c r="A4016" s="23">
        <v>111180</v>
      </c>
      <c r="B4016" s="1" t="s">
        <v>4076</v>
      </c>
    </row>
    <row r="4017" spans="1:2">
      <c r="A4017" s="23">
        <v>111181</v>
      </c>
      <c r="B4017" s="1" t="s">
        <v>4077</v>
      </c>
    </row>
    <row r="4018" spans="1:2">
      <c r="A4018" s="23">
        <v>111182</v>
      </c>
      <c r="B4018" s="1" t="s">
        <v>4078</v>
      </c>
    </row>
    <row r="4019" spans="1:2">
      <c r="A4019" s="23">
        <v>111184</v>
      </c>
      <c r="B4019" s="1" t="s">
        <v>4079</v>
      </c>
    </row>
    <row r="4020" spans="1:2">
      <c r="A4020" s="23">
        <v>111185</v>
      </c>
      <c r="B4020" s="1" t="s">
        <v>4080</v>
      </c>
    </row>
    <row r="4021" spans="1:2">
      <c r="A4021" s="23">
        <v>111187</v>
      </c>
      <c r="B4021" s="1" t="s">
        <v>4081</v>
      </c>
    </row>
    <row r="4022" spans="1:2">
      <c r="A4022" s="23">
        <v>111188</v>
      </c>
      <c r="B4022" s="1" t="s">
        <v>4082</v>
      </c>
    </row>
    <row r="4023" spans="1:2">
      <c r="A4023" s="23">
        <v>111189</v>
      </c>
      <c r="B4023" s="1" t="s">
        <v>4083</v>
      </c>
    </row>
    <row r="4024" spans="1:2">
      <c r="A4024" s="23">
        <v>111190</v>
      </c>
      <c r="B4024" s="1" t="s">
        <v>4084</v>
      </c>
    </row>
    <row r="4025" spans="1:2">
      <c r="A4025" s="23">
        <v>111191</v>
      </c>
      <c r="B4025" s="1" t="s">
        <v>4085</v>
      </c>
    </row>
    <row r="4026" spans="1:2">
      <c r="A4026" s="23">
        <v>111198</v>
      </c>
      <c r="B4026" s="1" t="s">
        <v>4086</v>
      </c>
    </row>
    <row r="4027" spans="1:2">
      <c r="A4027" s="23">
        <v>111199</v>
      </c>
      <c r="B4027" s="1" t="s">
        <v>4087</v>
      </c>
    </row>
    <row r="4028" spans="1:2">
      <c r="A4028" s="23">
        <v>111200</v>
      </c>
      <c r="B4028" s="1" t="s">
        <v>4088</v>
      </c>
    </row>
    <row r="4029" spans="1:2">
      <c r="A4029" s="23">
        <v>111201</v>
      </c>
      <c r="B4029" s="1" t="s">
        <v>4089</v>
      </c>
    </row>
    <row r="4030" spans="1:2">
      <c r="A4030" s="23">
        <v>111202</v>
      </c>
      <c r="B4030" s="1" t="s">
        <v>4090</v>
      </c>
    </row>
    <row r="4031" spans="1:2">
      <c r="A4031" s="23">
        <v>111203</v>
      </c>
      <c r="B4031" s="1" t="s">
        <v>4091</v>
      </c>
    </row>
    <row r="4032" spans="1:2">
      <c r="A4032" s="23">
        <v>111204</v>
      </c>
      <c r="B4032" s="1" t="s">
        <v>4092</v>
      </c>
    </row>
    <row r="4033" spans="1:2">
      <c r="A4033" s="23">
        <v>111205</v>
      </c>
      <c r="B4033" s="1" t="s">
        <v>4093</v>
      </c>
    </row>
    <row r="4034" spans="1:2">
      <c r="A4034" s="23">
        <v>111206</v>
      </c>
      <c r="B4034" s="1" t="s">
        <v>4094</v>
      </c>
    </row>
    <row r="4035" spans="1:2">
      <c r="A4035" s="23">
        <v>111207</v>
      </c>
      <c r="B4035" s="1" t="s">
        <v>4095</v>
      </c>
    </row>
    <row r="4036" spans="1:2">
      <c r="A4036" s="23">
        <v>111208</v>
      </c>
      <c r="B4036" s="1" t="s">
        <v>4096</v>
      </c>
    </row>
    <row r="4037" spans="1:2">
      <c r="A4037" s="23">
        <v>111209</v>
      </c>
      <c r="B4037" s="1" t="s">
        <v>4097</v>
      </c>
    </row>
    <row r="4038" spans="1:2">
      <c r="A4038" s="23">
        <v>111210</v>
      </c>
      <c r="B4038" s="1" t="s">
        <v>4098</v>
      </c>
    </row>
    <row r="4039" spans="1:2">
      <c r="A4039" s="23">
        <v>111211</v>
      </c>
      <c r="B4039" s="1" t="s">
        <v>4099</v>
      </c>
    </row>
    <row r="4040" spans="1:2">
      <c r="A4040" s="23">
        <v>111212</v>
      </c>
      <c r="B4040" s="1" t="s">
        <v>4100</v>
      </c>
    </row>
    <row r="4041" spans="1:2">
      <c r="A4041" s="23">
        <v>111213</v>
      </c>
      <c r="B4041" s="1" t="s">
        <v>4101</v>
      </c>
    </row>
    <row r="4042" spans="1:2">
      <c r="A4042" s="23">
        <v>111214</v>
      </c>
      <c r="B4042" s="1" t="s">
        <v>4102</v>
      </c>
    </row>
    <row r="4043" spans="1:2">
      <c r="A4043" s="23">
        <v>111215</v>
      </c>
      <c r="B4043" s="1" t="s">
        <v>4103</v>
      </c>
    </row>
    <row r="4044" spans="1:2">
      <c r="A4044" s="23">
        <v>111216</v>
      </c>
      <c r="B4044" s="1" t="s">
        <v>4104</v>
      </c>
    </row>
    <row r="4045" spans="1:2">
      <c r="A4045" s="23">
        <v>111217</v>
      </c>
      <c r="B4045" s="1" t="s">
        <v>4105</v>
      </c>
    </row>
    <row r="4046" spans="1:2">
      <c r="A4046" s="23">
        <v>111218</v>
      </c>
      <c r="B4046" s="1" t="s">
        <v>4106</v>
      </c>
    </row>
    <row r="4047" spans="1:2">
      <c r="A4047" s="23">
        <v>111219</v>
      </c>
      <c r="B4047" s="1" t="s">
        <v>4107</v>
      </c>
    </row>
    <row r="4048" spans="1:2">
      <c r="A4048" s="23">
        <v>111220</v>
      </c>
      <c r="B4048" s="1" t="s">
        <v>4108</v>
      </c>
    </row>
    <row r="4049" spans="1:2">
      <c r="A4049" s="23">
        <v>111221</v>
      </c>
      <c r="B4049" s="1" t="s">
        <v>4109</v>
      </c>
    </row>
    <row r="4050" spans="1:2">
      <c r="A4050" s="23">
        <v>111222</v>
      </c>
      <c r="B4050" s="1" t="s">
        <v>4110</v>
      </c>
    </row>
    <row r="4051" spans="1:2">
      <c r="A4051" s="23">
        <v>111223</v>
      </c>
      <c r="B4051" s="1" t="s">
        <v>4111</v>
      </c>
    </row>
    <row r="4052" spans="1:2">
      <c r="A4052" s="23">
        <v>111224</v>
      </c>
      <c r="B4052" s="1" t="s">
        <v>4112</v>
      </c>
    </row>
    <row r="4053" spans="1:2">
      <c r="A4053" s="23">
        <v>111225</v>
      </c>
      <c r="B4053" s="1" t="s">
        <v>4113</v>
      </c>
    </row>
    <row r="4054" spans="1:2">
      <c r="A4054" s="23">
        <v>111226</v>
      </c>
      <c r="B4054" s="1" t="s">
        <v>4114</v>
      </c>
    </row>
    <row r="4055" spans="1:2">
      <c r="A4055" s="23">
        <v>111227</v>
      </c>
      <c r="B4055" s="1" t="s">
        <v>4115</v>
      </c>
    </row>
    <row r="4056" spans="1:2">
      <c r="A4056" s="23">
        <v>111228</v>
      </c>
      <c r="B4056" s="1" t="s">
        <v>4116</v>
      </c>
    </row>
    <row r="4057" spans="1:2">
      <c r="A4057" s="23">
        <v>111229</v>
      </c>
      <c r="B4057" s="1" t="s">
        <v>4117</v>
      </c>
    </row>
    <row r="4058" spans="1:2">
      <c r="A4058" s="23">
        <v>111230</v>
      </c>
      <c r="B4058" s="1" t="s">
        <v>4118</v>
      </c>
    </row>
    <row r="4059" spans="1:2">
      <c r="A4059" s="23">
        <v>111231</v>
      </c>
      <c r="B4059" s="1" t="s">
        <v>4119</v>
      </c>
    </row>
    <row r="4060" spans="1:2">
      <c r="A4060" s="23">
        <v>111232</v>
      </c>
      <c r="B4060" s="1" t="s">
        <v>4120</v>
      </c>
    </row>
    <row r="4061" spans="1:2">
      <c r="A4061" s="23">
        <v>111233</v>
      </c>
      <c r="B4061" s="1" t="s">
        <v>4121</v>
      </c>
    </row>
    <row r="4062" spans="1:2">
      <c r="A4062" s="23">
        <v>111234</v>
      </c>
      <c r="B4062" s="1" t="s">
        <v>4122</v>
      </c>
    </row>
    <row r="4063" spans="1:2">
      <c r="A4063" s="23">
        <v>111235</v>
      </c>
      <c r="B4063" s="1" t="s">
        <v>4123</v>
      </c>
    </row>
    <row r="4064" spans="1:2">
      <c r="A4064" s="23">
        <v>111236</v>
      </c>
      <c r="B4064" s="1" t="s">
        <v>4124</v>
      </c>
    </row>
    <row r="4065" spans="1:2">
      <c r="A4065" s="23">
        <v>111237</v>
      </c>
      <c r="B4065" s="1" t="s">
        <v>4125</v>
      </c>
    </row>
    <row r="4066" spans="1:2">
      <c r="A4066" s="23">
        <v>111238</v>
      </c>
      <c r="B4066" s="1" t="s">
        <v>4126</v>
      </c>
    </row>
    <row r="4067" spans="1:2">
      <c r="A4067" s="23">
        <v>111239</v>
      </c>
      <c r="B4067" s="1" t="s">
        <v>4127</v>
      </c>
    </row>
    <row r="4068" spans="1:2">
      <c r="A4068" s="23">
        <v>111240</v>
      </c>
      <c r="B4068" s="1" t="s">
        <v>4128</v>
      </c>
    </row>
    <row r="4069" spans="1:2">
      <c r="A4069" s="23">
        <v>111241</v>
      </c>
      <c r="B4069" s="1" t="s">
        <v>4129</v>
      </c>
    </row>
    <row r="4070" spans="1:2">
      <c r="A4070" s="23">
        <v>111242</v>
      </c>
      <c r="B4070" s="1" t="s">
        <v>4130</v>
      </c>
    </row>
    <row r="4071" spans="1:2">
      <c r="A4071" s="23">
        <v>111243</v>
      </c>
      <c r="B4071" s="1" t="s">
        <v>4131</v>
      </c>
    </row>
    <row r="4072" spans="1:2">
      <c r="A4072" s="23">
        <v>111244</v>
      </c>
      <c r="B4072" s="1" t="s">
        <v>4132</v>
      </c>
    </row>
    <row r="4073" spans="1:2">
      <c r="A4073" s="23">
        <v>111245</v>
      </c>
      <c r="B4073" s="1" t="s">
        <v>4133</v>
      </c>
    </row>
    <row r="4074" spans="1:2">
      <c r="A4074" s="23">
        <v>111246</v>
      </c>
      <c r="B4074" s="1" t="s">
        <v>4134</v>
      </c>
    </row>
    <row r="4075" spans="1:2">
      <c r="A4075" s="23">
        <v>111247</v>
      </c>
      <c r="B4075" s="1" t="s">
        <v>4135</v>
      </c>
    </row>
    <row r="4076" spans="1:2">
      <c r="A4076" s="23">
        <v>111248</v>
      </c>
      <c r="B4076" s="1" t="s">
        <v>4136</v>
      </c>
    </row>
    <row r="4077" spans="1:2">
      <c r="A4077" s="23">
        <v>111249</v>
      </c>
      <c r="B4077" s="1" t="s">
        <v>4137</v>
      </c>
    </row>
    <row r="4078" spans="1:2">
      <c r="A4078" s="23">
        <v>111250</v>
      </c>
      <c r="B4078" s="1" t="s">
        <v>4138</v>
      </c>
    </row>
    <row r="4079" spans="1:2">
      <c r="A4079" s="23">
        <v>111251</v>
      </c>
      <c r="B4079" s="1" t="s">
        <v>4139</v>
      </c>
    </row>
    <row r="4080" spans="1:2">
      <c r="A4080" s="23">
        <v>111252</v>
      </c>
      <c r="B4080" s="1" t="s">
        <v>4140</v>
      </c>
    </row>
    <row r="4081" spans="1:2">
      <c r="A4081" s="23">
        <v>111253</v>
      </c>
      <c r="B4081" s="1" t="s">
        <v>4141</v>
      </c>
    </row>
    <row r="4082" spans="1:2">
      <c r="A4082" s="23">
        <v>111254</v>
      </c>
      <c r="B4082" s="1" t="s">
        <v>4142</v>
      </c>
    </row>
    <row r="4083" spans="1:2">
      <c r="A4083" s="23">
        <v>111255</v>
      </c>
      <c r="B4083" s="1" t="s">
        <v>4143</v>
      </c>
    </row>
    <row r="4084" spans="1:2">
      <c r="A4084" s="23">
        <v>111256</v>
      </c>
      <c r="B4084" s="1" t="s">
        <v>4144</v>
      </c>
    </row>
    <row r="4085" spans="1:2">
      <c r="A4085" s="23">
        <v>111257</v>
      </c>
      <c r="B4085" s="1" t="s">
        <v>4145</v>
      </c>
    </row>
    <row r="4086" spans="1:2">
      <c r="A4086" s="23">
        <v>111258</v>
      </c>
      <c r="B4086" s="1" t="s">
        <v>4146</v>
      </c>
    </row>
    <row r="4087" spans="1:2">
      <c r="A4087" s="23">
        <v>111259</v>
      </c>
      <c r="B4087" s="1" t="s">
        <v>4147</v>
      </c>
    </row>
    <row r="4088" spans="1:2">
      <c r="A4088" s="23">
        <v>111260</v>
      </c>
      <c r="B4088" s="1" t="s">
        <v>4148</v>
      </c>
    </row>
    <row r="4089" spans="1:2">
      <c r="A4089" s="23">
        <v>111261</v>
      </c>
      <c r="B4089" s="1" t="s">
        <v>4149</v>
      </c>
    </row>
    <row r="4090" spans="1:2">
      <c r="A4090" s="23">
        <v>111262</v>
      </c>
      <c r="B4090" s="1" t="s">
        <v>4150</v>
      </c>
    </row>
    <row r="4091" spans="1:2">
      <c r="A4091" s="23">
        <v>111263</v>
      </c>
      <c r="B4091" s="1" t="s">
        <v>4151</v>
      </c>
    </row>
    <row r="4092" spans="1:2">
      <c r="A4092" s="23">
        <v>111264</v>
      </c>
      <c r="B4092" s="1" t="s">
        <v>4152</v>
      </c>
    </row>
    <row r="4093" spans="1:2">
      <c r="A4093" s="23">
        <v>111265</v>
      </c>
      <c r="B4093" s="1" t="s">
        <v>4153</v>
      </c>
    </row>
    <row r="4094" spans="1:2">
      <c r="A4094" s="23">
        <v>111266</v>
      </c>
      <c r="B4094" s="1" t="s">
        <v>4154</v>
      </c>
    </row>
    <row r="4095" spans="1:2">
      <c r="A4095" s="23">
        <v>111267</v>
      </c>
      <c r="B4095" s="1" t="s">
        <v>4155</v>
      </c>
    </row>
    <row r="4096" spans="1:2">
      <c r="A4096" s="23">
        <v>111268</v>
      </c>
      <c r="B4096" s="1" t="s">
        <v>4156</v>
      </c>
    </row>
    <row r="4097" spans="1:2">
      <c r="A4097" s="23">
        <v>111269</v>
      </c>
      <c r="B4097" s="1" t="s">
        <v>4157</v>
      </c>
    </row>
    <row r="4098" spans="1:2">
      <c r="A4098" s="23">
        <v>111270</v>
      </c>
      <c r="B4098" s="1" t="s">
        <v>4158</v>
      </c>
    </row>
    <row r="4099" spans="1:2">
      <c r="A4099" s="23">
        <v>111271</v>
      </c>
      <c r="B4099" s="1" t="s">
        <v>4159</v>
      </c>
    </row>
    <row r="4100" spans="1:2">
      <c r="A4100" s="23">
        <v>111272</v>
      </c>
      <c r="B4100" s="1" t="s">
        <v>4160</v>
      </c>
    </row>
    <row r="4101" spans="1:2">
      <c r="A4101" s="23">
        <v>111273</v>
      </c>
      <c r="B4101" s="1" t="s">
        <v>4161</v>
      </c>
    </row>
    <row r="4102" spans="1:2">
      <c r="A4102" s="23">
        <v>111274</v>
      </c>
      <c r="B4102" s="1" t="s">
        <v>4162</v>
      </c>
    </row>
    <row r="4103" spans="1:2">
      <c r="A4103" s="23">
        <v>111275</v>
      </c>
      <c r="B4103" s="1" t="s">
        <v>4163</v>
      </c>
    </row>
    <row r="4104" spans="1:2">
      <c r="A4104" s="23">
        <v>111276</v>
      </c>
      <c r="B4104" s="1" t="s">
        <v>4164</v>
      </c>
    </row>
    <row r="4105" spans="1:2">
      <c r="A4105" s="23">
        <v>111277</v>
      </c>
      <c r="B4105" s="1" t="s">
        <v>4165</v>
      </c>
    </row>
    <row r="4106" spans="1:2">
      <c r="A4106" s="23">
        <v>111278</v>
      </c>
      <c r="B4106" s="1" t="s">
        <v>4166</v>
      </c>
    </row>
    <row r="4107" spans="1:2">
      <c r="A4107" s="23">
        <v>111279</v>
      </c>
      <c r="B4107" s="1" t="s">
        <v>4167</v>
      </c>
    </row>
    <row r="4108" spans="1:2">
      <c r="A4108" s="23">
        <v>111280</v>
      </c>
      <c r="B4108" s="1" t="s">
        <v>4168</v>
      </c>
    </row>
    <row r="4109" spans="1:2">
      <c r="A4109" s="23">
        <v>111281</v>
      </c>
      <c r="B4109" s="1" t="s">
        <v>4169</v>
      </c>
    </row>
    <row r="4110" spans="1:2">
      <c r="A4110" s="23">
        <v>111282</v>
      </c>
      <c r="B4110" s="1" t="s">
        <v>4170</v>
      </c>
    </row>
    <row r="4111" spans="1:2">
      <c r="A4111" s="23">
        <v>111283</v>
      </c>
      <c r="B4111" s="1" t="s">
        <v>4171</v>
      </c>
    </row>
    <row r="4112" spans="1:2">
      <c r="A4112" s="23">
        <v>111284</v>
      </c>
      <c r="B4112" s="1" t="s">
        <v>4172</v>
      </c>
    </row>
    <row r="4113" spans="1:2">
      <c r="A4113" s="23">
        <v>111285</v>
      </c>
      <c r="B4113" s="1" t="s">
        <v>4173</v>
      </c>
    </row>
    <row r="4114" spans="1:2">
      <c r="A4114" s="23">
        <v>111286</v>
      </c>
      <c r="B4114" s="1" t="s">
        <v>4174</v>
      </c>
    </row>
    <row r="4115" spans="1:2">
      <c r="A4115" s="23">
        <v>111287</v>
      </c>
      <c r="B4115" s="1" t="s">
        <v>4175</v>
      </c>
    </row>
    <row r="4116" spans="1:2">
      <c r="A4116" s="23">
        <v>111288</v>
      </c>
      <c r="B4116" s="1" t="s">
        <v>4176</v>
      </c>
    </row>
    <row r="4117" spans="1:2">
      <c r="A4117" s="23">
        <v>111289</v>
      </c>
      <c r="B4117" s="1" t="s">
        <v>4177</v>
      </c>
    </row>
    <row r="4118" spans="1:2">
      <c r="A4118" s="23">
        <v>111290</v>
      </c>
      <c r="B4118" s="1" t="s">
        <v>4178</v>
      </c>
    </row>
    <row r="4119" spans="1:2">
      <c r="A4119" s="23">
        <v>111291</v>
      </c>
      <c r="B4119" s="1" t="s">
        <v>4179</v>
      </c>
    </row>
    <row r="4120" spans="1:2">
      <c r="A4120" s="23">
        <v>111292</v>
      </c>
      <c r="B4120" s="1" t="s">
        <v>4180</v>
      </c>
    </row>
    <row r="4121" spans="1:2">
      <c r="A4121" s="23">
        <v>111293</v>
      </c>
      <c r="B4121" s="1" t="s">
        <v>4181</v>
      </c>
    </row>
    <row r="4122" spans="1:2">
      <c r="A4122" s="23">
        <v>111294</v>
      </c>
      <c r="B4122" s="1" t="s">
        <v>4182</v>
      </c>
    </row>
    <row r="4123" spans="1:2">
      <c r="A4123" s="23">
        <v>111295</v>
      </c>
      <c r="B4123" s="1" t="s">
        <v>4183</v>
      </c>
    </row>
    <row r="4124" spans="1:2">
      <c r="A4124" s="23">
        <v>111296</v>
      </c>
      <c r="B4124" s="1" t="s">
        <v>4184</v>
      </c>
    </row>
    <row r="4125" spans="1:2">
      <c r="A4125" s="23">
        <v>111297</v>
      </c>
      <c r="B4125" s="1" t="s">
        <v>4185</v>
      </c>
    </row>
    <row r="4126" spans="1:2">
      <c r="A4126" s="23">
        <v>111298</v>
      </c>
      <c r="B4126" s="1" t="s">
        <v>4186</v>
      </c>
    </row>
    <row r="4127" spans="1:2">
      <c r="A4127" s="23">
        <v>111299</v>
      </c>
      <c r="B4127" s="1" t="s">
        <v>4187</v>
      </c>
    </row>
    <row r="4128" spans="1:2">
      <c r="A4128" s="23">
        <v>111300</v>
      </c>
      <c r="B4128" s="1" t="s">
        <v>4188</v>
      </c>
    </row>
    <row r="4129" spans="1:2">
      <c r="A4129" s="23">
        <v>111301</v>
      </c>
      <c r="B4129" s="1" t="s">
        <v>4189</v>
      </c>
    </row>
    <row r="4130" spans="1:2">
      <c r="A4130" s="23">
        <v>111302</v>
      </c>
      <c r="B4130" s="1" t="s">
        <v>4190</v>
      </c>
    </row>
    <row r="4131" spans="1:2">
      <c r="A4131" s="23">
        <v>111303</v>
      </c>
      <c r="B4131" s="1" t="s">
        <v>4191</v>
      </c>
    </row>
    <row r="4132" spans="1:2">
      <c r="A4132" s="23">
        <v>111304</v>
      </c>
      <c r="B4132" s="1" t="s">
        <v>4192</v>
      </c>
    </row>
    <row r="4133" spans="1:2">
      <c r="A4133" s="23">
        <v>111305</v>
      </c>
      <c r="B4133" s="1" t="s">
        <v>4193</v>
      </c>
    </row>
    <row r="4134" spans="1:2">
      <c r="A4134" s="23">
        <v>111306</v>
      </c>
      <c r="B4134" s="1" t="s">
        <v>4194</v>
      </c>
    </row>
    <row r="4135" spans="1:2">
      <c r="A4135" s="23">
        <v>111307</v>
      </c>
      <c r="B4135" s="1" t="s">
        <v>4195</v>
      </c>
    </row>
    <row r="4136" spans="1:2">
      <c r="A4136" s="23">
        <v>111308</v>
      </c>
      <c r="B4136" s="1" t="s">
        <v>4196</v>
      </c>
    </row>
    <row r="4137" spans="1:2">
      <c r="A4137" s="23">
        <v>111309</v>
      </c>
      <c r="B4137" s="1" t="s">
        <v>4197</v>
      </c>
    </row>
    <row r="4138" spans="1:2">
      <c r="A4138" s="23">
        <v>111310</v>
      </c>
      <c r="B4138" s="1" t="s">
        <v>4198</v>
      </c>
    </row>
    <row r="4139" spans="1:2">
      <c r="A4139" s="23">
        <v>111311</v>
      </c>
      <c r="B4139" s="1" t="s">
        <v>4199</v>
      </c>
    </row>
    <row r="4140" spans="1:2">
      <c r="A4140" s="23">
        <v>111312</v>
      </c>
      <c r="B4140" s="1" t="s">
        <v>4200</v>
      </c>
    </row>
    <row r="4141" spans="1:2">
      <c r="A4141" s="23">
        <v>111313</v>
      </c>
      <c r="B4141" s="1" t="s">
        <v>4201</v>
      </c>
    </row>
    <row r="4142" spans="1:2">
      <c r="A4142" s="23">
        <v>111314</v>
      </c>
      <c r="B4142" s="1" t="s">
        <v>4202</v>
      </c>
    </row>
    <row r="4143" spans="1:2">
      <c r="A4143" s="23">
        <v>111315</v>
      </c>
      <c r="B4143" s="1" t="s">
        <v>4203</v>
      </c>
    </row>
    <row r="4144" spans="1:2">
      <c r="A4144" s="23">
        <v>111316</v>
      </c>
      <c r="B4144" s="1" t="s">
        <v>4204</v>
      </c>
    </row>
    <row r="4145" spans="1:2">
      <c r="A4145" s="23">
        <v>111317</v>
      </c>
      <c r="B4145" s="1" t="s">
        <v>4205</v>
      </c>
    </row>
    <row r="4146" spans="1:2">
      <c r="A4146" s="23">
        <v>111327</v>
      </c>
      <c r="B4146" s="1" t="s">
        <v>4206</v>
      </c>
    </row>
    <row r="4147" spans="1:2">
      <c r="A4147" s="23">
        <v>111340</v>
      </c>
      <c r="B4147" s="1" t="s">
        <v>4207</v>
      </c>
    </row>
    <row r="4148" spans="1:2">
      <c r="A4148" s="23">
        <v>111341</v>
      </c>
      <c r="B4148" s="1" t="s">
        <v>4208</v>
      </c>
    </row>
    <row r="4149" spans="1:2">
      <c r="A4149" s="23">
        <v>111342</v>
      </c>
      <c r="B4149" s="1" t="s">
        <v>4209</v>
      </c>
    </row>
    <row r="4150" spans="1:2">
      <c r="A4150" s="23">
        <v>111343</v>
      </c>
      <c r="B4150" s="1" t="s">
        <v>4210</v>
      </c>
    </row>
    <row r="4151" spans="1:2">
      <c r="A4151" s="23">
        <v>111344</v>
      </c>
      <c r="B4151" s="1" t="s">
        <v>4211</v>
      </c>
    </row>
    <row r="4152" spans="1:2">
      <c r="A4152" s="23">
        <v>111347</v>
      </c>
      <c r="B4152" s="1" t="s">
        <v>4212</v>
      </c>
    </row>
    <row r="4153" spans="1:2">
      <c r="A4153" s="23">
        <v>111348</v>
      </c>
      <c r="B4153" s="1" t="s">
        <v>4213</v>
      </c>
    </row>
    <row r="4154" spans="1:2">
      <c r="A4154" s="23">
        <v>111349</v>
      </c>
      <c r="B4154" s="1" t="s">
        <v>4214</v>
      </c>
    </row>
    <row r="4155" spans="1:2">
      <c r="A4155" s="23">
        <v>111350</v>
      </c>
      <c r="B4155" s="1" t="s">
        <v>4215</v>
      </c>
    </row>
    <row r="4156" spans="1:2">
      <c r="A4156" s="23">
        <v>111351</v>
      </c>
      <c r="B4156" s="1" t="s">
        <v>4216</v>
      </c>
    </row>
    <row r="4157" spans="1:2">
      <c r="A4157" s="23">
        <v>111352</v>
      </c>
      <c r="B4157" s="1" t="s">
        <v>4217</v>
      </c>
    </row>
    <row r="4158" spans="1:2">
      <c r="A4158" s="23">
        <v>111353</v>
      </c>
      <c r="B4158" s="1" t="s">
        <v>4218</v>
      </c>
    </row>
    <row r="4159" spans="1:2">
      <c r="A4159" s="23">
        <v>111354</v>
      </c>
      <c r="B4159" s="1" t="s">
        <v>4219</v>
      </c>
    </row>
    <row r="4160" spans="1:2">
      <c r="A4160" s="23">
        <v>111355</v>
      </c>
      <c r="B4160" s="1" t="s">
        <v>4220</v>
      </c>
    </row>
    <row r="4161" spans="1:2">
      <c r="A4161" s="23">
        <v>111356</v>
      </c>
      <c r="B4161" s="1" t="s">
        <v>4221</v>
      </c>
    </row>
    <row r="4162" spans="1:2">
      <c r="A4162" s="23">
        <v>111357</v>
      </c>
      <c r="B4162" s="1" t="s">
        <v>4222</v>
      </c>
    </row>
    <row r="4163" spans="1:2">
      <c r="A4163" s="23">
        <v>111360</v>
      </c>
      <c r="B4163" s="1" t="s">
        <v>4223</v>
      </c>
    </row>
    <row r="4164" spans="1:2">
      <c r="A4164" s="23">
        <v>111361</v>
      </c>
      <c r="B4164" s="1" t="s">
        <v>4224</v>
      </c>
    </row>
    <row r="4165" spans="1:2">
      <c r="A4165" s="23">
        <v>111362</v>
      </c>
      <c r="B4165" s="1" t="s">
        <v>4225</v>
      </c>
    </row>
    <row r="4166" spans="1:2">
      <c r="A4166" s="23">
        <v>111363</v>
      </c>
      <c r="B4166" s="1" t="s">
        <v>4226</v>
      </c>
    </row>
    <row r="4167" spans="1:2">
      <c r="A4167" s="23">
        <v>111380</v>
      </c>
      <c r="B4167" s="1" t="s">
        <v>4227</v>
      </c>
    </row>
    <row r="4168" spans="1:2">
      <c r="A4168" s="23">
        <v>111390</v>
      </c>
      <c r="B4168" s="1" t="s">
        <v>4228</v>
      </c>
    </row>
    <row r="4169" spans="1:2">
      <c r="A4169" s="23">
        <v>111391</v>
      </c>
      <c r="B4169" s="1" t="s">
        <v>4229</v>
      </c>
    </row>
    <row r="4170" spans="1:2">
      <c r="A4170" s="23">
        <v>111392</v>
      </c>
      <c r="B4170" s="1" t="s">
        <v>4230</v>
      </c>
    </row>
    <row r="4171" spans="1:2">
      <c r="A4171" s="23">
        <v>111393</v>
      </c>
      <c r="B4171" s="1" t="s">
        <v>4231</v>
      </c>
    </row>
    <row r="4172" spans="1:2">
      <c r="A4172" s="23">
        <v>111396</v>
      </c>
      <c r="B4172" s="1" t="s">
        <v>4232</v>
      </c>
    </row>
    <row r="4173" spans="1:2">
      <c r="A4173" s="23">
        <v>111403</v>
      </c>
      <c r="B4173" s="1" t="s">
        <v>4233</v>
      </c>
    </row>
    <row r="4174" spans="1:2">
      <c r="A4174" s="23">
        <v>111456</v>
      </c>
      <c r="B4174" s="1" t="s">
        <v>4234</v>
      </c>
    </row>
    <row r="4175" spans="1:2">
      <c r="A4175" s="23">
        <v>111457</v>
      </c>
      <c r="B4175" s="1" t="s">
        <v>4235</v>
      </c>
    </row>
    <row r="4176" spans="1:2">
      <c r="A4176" s="23">
        <v>111461</v>
      </c>
      <c r="B4176" s="1" t="s">
        <v>4236</v>
      </c>
    </row>
    <row r="4177" spans="1:2">
      <c r="A4177" s="23">
        <v>111473</v>
      </c>
      <c r="B4177" s="1" t="s">
        <v>4237</v>
      </c>
    </row>
    <row r="4178" spans="1:2">
      <c r="A4178" s="23">
        <v>111478</v>
      </c>
      <c r="B4178" s="1" t="s">
        <v>4238</v>
      </c>
    </row>
    <row r="4179" spans="1:2">
      <c r="A4179" s="23">
        <v>111480</v>
      </c>
      <c r="B4179" s="1" t="s">
        <v>4239</v>
      </c>
    </row>
    <row r="4180" spans="1:2">
      <c r="A4180" s="23">
        <v>111481</v>
      </c>
      <c r="B4180" s="1" t="s">
        <v>4240</v>
      </c>
    </row>
    <row r="4181" spans="1:2">
      <c r="A4181" s="23">
        <v>111482</v>
      </c>
      <c r="B4181" s="1" t="s">
        <v>4241</v>
      </c>
    </row>
    <row r="4182" spans="1:2">
      <c r="A4182" s="23">
        <v>111483</v>
      </c>
      <c r="B4182" s="1" t="s">
        <v>4242</v>
      </c>
    </row>
    <row r="4183" spans="1:2">
      <c r="A4183" s="23">
        <v>111484</v>
      </c>
      <c r="B4183" s="1" t="s">
        <v>4243</v>
      </c>
    </row>
    <row r="4184" spans="1:2">
      <c r="A4184" s="23">
        <v>111485</v>
      </c>
      <c r="B4184" s="1" t="s">
        <v>4244</v>
      </c>
    </row>
    <row r="4185" spans="1:2">
      <c r="A4185" s="23">
        <v>111486</v>
      </c>
      <c r="B4185" s="1" t="s">
        <v>4245</v>
      </c>
    </row>
    <row r="4186" spans="1:2">
      <c r="A4186" s="23">
        <v>111488</v>
      </c>
      <c r="B4186" s="1" t="s">
        <v>4246</v>
      </c>
    </row>
    <row r="4187" spans="1:2">
      <c r="A4187" s="23">
        <v>111489</v>
      </c>
      <c r="B4187" s="1" t="s">
        <v>4247</v>
      </c>
    </row>
    <row r="4188" spans="1:2">
      <c r="A4188" s="23">
        <v>111490</v>
      </c>
      <c r="B4188" s="1" t="s">
        <v>4248</v>
      </c>
    </row>
    <row r="4189" spans="1:2">
      <c r="A4189" s="23">
        <v>111492</v>
      </c>
      <c r="B4189" s="1" t="s">
        <v>4249</v>
      </c>
    </row>
    <row r="4190" spans="1:2">
      <c r="A4190" s="23">
        <v>111493</v>
      </c>
      <c r="B4190" s="1" t="s">
        <v>4250</v>
      </c>
    </row>
    <row r="4191" spans="1:2">
      <c r="A4191" s="23">
        <v>111495</v>
      </c>
      <c r="B4191" s="1" t="s">
        <v>4251</v>
      </c>
    </row>
    <row r="4192" spans="1:2">
      <c r="A4192" s="23">
        <v>111496</v>
      </c>
      <c r="B4192" s="1" t="s">
        <v>4252</v>
      </c>
    </row>
    <row r="4193" spans="1:2">
      <c r="A4193" s="23">
        <v>111497</v>
      </c>
      <c r="B4193" s="1" t="s">
        <v>4253</v>
      </c>
    </row>
    <row r="4194" spans="1:2">
      <c r="A4194" s="23">
        <v>111499</v>
      </c>
      <c r="B4194" s="1" t="s">
        <v>4254</v>
      </c>
    </row>
    <row r="4195" spans="1:2">
      <c r="A4195" s="23">
        <v>111500</v>
      </c>
      <c r="B4195" s="1" t="s">
        <v>4255</v>
      </c>
    </row>
    <row r="4196" spans="1:2">
      <c r="A4196" s="23">
        <v>111502</v>
      </c>
      <c r="B4196" s="1" t="s">
        <v>4256</v>
      </c>
    </row>
    <row r="4197" spans="1:2">
      <c r="A4197" s="23">
        <v>111503</v>
      </c>
      <c r="B4197" s="1" t="s">
        <v>4257</v>
      </c>
    </row>
    <row r="4198" spans="1:2">
      <c r="A4198" s="23">
        <v>111504</v>
      </c>
      <c r="B4198" s="1" t="s">
        <v>4258</v>
      </c>
    </row>
    <row r="4199" spans="1:2">
      <c r="A4199" s="23">
        <v>111505</v>
      </c>
      <c r="B4199" s="1" t="s">
        <v>4259</v>
      </c>
    </row>
    <row r="4200" spans="1:2">
      <c r="A4200" s="23">
        <v>111506</v>
      </c>
      <c r="B4200" s="1" t="s">
        <v>4260</v>
      </c>
    </row>
    <row r="4201" spans="1:2">
      <c r="A4201" s="23">
        <v>111509</v>
      </c>
      <c r="B4201" s="1" t="s">
        <v>4261</v>
      </c>
    </row>
    <row r="4202" spans="1:2">
      <c r="A4202" s="23">
        <v>111510</v>
      </c>
      <c r="B4202" s="1" t="s">
        <v>4262</v>
      </c>
    </row>
    <row r="4203" spans="1:2">
      <c r="A4203" s="23">
        <v>111511</v>
      </c>
      <c r="B4203" s="1" t="s">
        <v>4263</v>
      </c>
    </row>
    <row r="4204" spans="1:2">
      <c r="A4204" s="23">
        <v>111512</v>
      </c>
      <c r="B4204" s="1" t="s">
        <v>4264</v>
      </c>
    </row>
    <row r="4205" spans="1:2">
      <c r="A4205" s="23">
        <v>111513</v>
      </c>
      <c r="B4205" s="1" t="s">
        <v>4265</v>
      </c>
    </row>
    <row r="4206" spans="1:2">
      <c r="A4206" s="23">
        <v>111520</v>
      </c>
      <c r="B4206" s="1" t="s">
        <v>4266</v>
      </c>
    </row>
    <row r="4207" spans="1:2">
      <c r="A4207" s="23">
        <v>111521</v>
      </c>
      <c r="B4207" s="1" t="s">
        <v>4267</v>
      </c>
    </row>
    <row r="4208" spans="1:2">
      <c r="A4208" s="23">
        <v>111530</v>
      </c>
      <c r="B4208" s="1" t="s">
        <v>4268</v>
      </c>
    </row>
    <row r="4209" spans="1:2">
      <c r="A4209" s="23">
        <v>111531</v>
      </c>
      <c r="B4209" s="1" t="s">
        <v>4269</v>
      </c>
    </row>
    <row r="4210" spans="1:2">
      <c r="A4210" s="23">
        <v>111533</v>
      </c>
      <c r="B4210" s="1" t="s">
        <v>4270</v>
      </c>
    </row>
    <row r="4211" spans="1:2">
      <c r="A4211" s="23">
        <v>111534</v>
      </c>
      <c r="B4211" s="1" t="s">
        <v>4271</v>
      </c>
    </row>
    <row r="4212" spans="1:2">
      <c r="A4212" s="23">
        <v>111541</v>
      </c>
      <c r="B4212" s="1" t="s">
        <v>4272</v>
      </c>
    </row>
    <row r="4213" spans="1:2">
      <c r="A4213" s="23">
        <v>111568</v>
      </c>
      <c r="B4213" s="1" t="s">
        <v>4273</v>
      </c>
    </row>
    <row r="4214" spans="1:2">
      <c r="A4214" s="23">
        <v>111569</v>
      </c>
      <c r="B4214" s="1" t="s">
        <v>4274</v>
      </c>
    </row>
    <row r="4215" spans="1:2">
      <c r="A4215" s="23">
        <v>111570</v>
      </c>
      <c r="B4215" s="1" t="s">
        <v>4275</v>
      </c>
    </row>
    <row r="4216" spans="1:2">
      <c r="A4216" s="23">
        <v>111571</v>
      </c>
      <c r="B4216" s="1" t="s">
        <v>4276</v>
      </c>
    </row>
    <row r="4217" spans="1:2">
      <c r="A4217" s="23">
        <v>111572</v>
      </c>
      <c r="B4217" s="1" t="s">
        <v>4277</v>
      </c>
    </row>
    <row r="4218" spans="1:2">
      <c r="A4218" s="23">
        <v>111573</v>
      </c>
      <c r="B4218" s="1" t="s">
        <v>4278</v>
      </c>
    </row>
    <row r="4219" spans="1:2">
      <c r="A4219" s="23">
        <v>111574</v>
      </c>
      <c r="B4219" s="1" t="s">
        <v>4279</v>
      </c>
    </row>
    <row r="4220" spans="1:2">
      <c r="A4220" s="23">
        <v>111575</v>
      </c>
      <c r="B4220" s="1" t="s">
        <v>4280</v>
      </c>
    </row>
    <row r="4221" spans="1:2">
      <c r="A4221" s="23">
        <v>111576</v>
      </c>
      <c r="B4221" s="1" t="s">
        <v>4281</v>
      </c>
    </row>
    <row r="4222" spans="1:2">
      <c r="A4222" s="23">
        <v>111577</v>
      </c>
      <c r="B4222" s="1" t="s">
        <v>4282</v>
      </c>
    </row>
    <row r="4223" spans="1:2">
      <c r="A4223" s="23">
        <v>111597</v>
      </c>
      <c r="B4223" s="1" t="s">
        <v>4283</v>
      </c>
    </row>
    <row r="4224" spans="1:2">
      <c r="A4224" s="23">
        <v>111598</v>
      </c>
      <c r="B4224" s="1" t="s">
        <v>4284</v>
      </c>
    </row>
    <row r="4225" spans="1:2">
      <c r="A4225" s="23">
        <v>111688</v>
      </c>
      <c r="B4225" s="1" t="s">
        <v>4285</v>
      </c>
    </row>
    <row r="4226" spans="1:2">
      <c r="A4226" s="23">
        <v>111698</v>
      </c>
      <c r="B4226" s="1" t="s">
        <v>4286</v>
      </c>
    </row>
    <row r="4227" spans="1:2">
      <c r="A4227" s="23">
        <v>111704</v>
      </c>
      <c r="B4227" s="1" t="s">
        <v>4287</v>
      </c>
    </row>
    <row r="4228" spans="1:2">
      <c r="A4228" s="23">
        <v>111705</v>
      </c>
      <c r="B4228" s="1" t="s">
        <v>4288</v>
      </c>
    </row>
    <row r="4229" spans="1:2">
      <c r="A4229" s="23">
        <v>111707</v>
      </c>
      <c r="B4229" s="1" t="s">
        <v>4289</v>
      </c>
    </row>
    <row r="4230" spans="1:2">
      <c r="A4230" s="23">
        <v>111708</v>
      </c>
      <c r="B4230" s="1" t="s">
        <v>4290</v>
      </c>
    </row>
    <row r="4231" spans="1:2">
      <c r="A4231" s="23">
        <v>111712</v>
      </c>
      <c r="B4231" s="1" t="s">
        <v>4291</v>
      </c>
    </row>
    <row r="4232" spans="1:2">
      <c r="A4232" s="23">
        <v>111746</v>
      </c>
      <c r="B4232" s="1" t="s">
        <v>4292</v>
      </c>
    </row>
    <row r="4233" spans="1:2">
      <c r="A4233" s="23">
        <v>111747</v>
      </c>
      <c r="B4233" s="1" t="s">
        <v>4293</v>
      </c>
    </row>
    <row r="4234" spans="1:2">
      <c r="A4234" s="23">
        <v>111749</v>
      </c>
      <c r="B4234" s="1" t="s">
        <v>4294</v>
      </c>
    </row>
    <row r="4235" spans="1:2">
      <c r="A4235" s="23">
        <v>111754</v>
      </c>
      <c r="B4235" s="1" t="s">
        <v>4295</v>
      </c>
    </row>
    <row r="4236" spans="1:2">
      <c r="A4236" s="23">
        <v>111755</v>
      </c>
      <c r="B4236" s="1" t="s">
        <v>4296</v>
      </c>
    </row>
    <row r="4237" spans="1:2">
      <c r="A4237" s="23">
        <v>111756</v>
      </c>
      <c r="B4237" s="1" t="s">
        <v>4297</v>
      </c>
    </row>
    <row r="4238" spans="1:2">
      <c r="A4238" s="23">
        <v>111757</v>
      </c>
      <c r="B4238" s="1" t="s">
        <v>4298</v>
      </c>
    </row>
    <row r="4239" spans="1:2">
      <c r="A4239" s="23">
        <v>111758</v>
      </c>
      <c r="B4239" s="1" t="s">
        <v>4299</v>
      </c>
    </row>
    <row r="4240" spans="1:2">
      <c r="A4240" s="23">
        <v>111761</v>
      </c>
      <c r="B4240" s="1" t="s">
        <v>4300</v>
      </c>
    </row>
    <row r="4241" spans="1:2">
      <c r="A4241" s="23">
        <v>111762</v>
      </c>
      <c r="B4241" s="1" t="s">
        <v>4301</v>
      </c>
    </row>
    <row r="4242" spans="1:2">
      <c r="A4242" s="23">
        <v>111770</v>
      </c>
      <c r="B4242" s="1" t="s">
        <v>4302</v>
      </c>
    </row>
    <row r="4243" spans="1:2">
      <c r="A4243" s="23">
        <v>111784</v>
      </c>
      <c r="B4243" s="1" t="s">
        <v>4303</v>
      </c>
    </row>
    <row r="4244" spans="1:2">
      <c r="A4244" s="23">
        <v>111785</v>
      </c>
      <c r="B4244" s="1" t="s">
        <v>4304</v>
      </c>
    </row>
    <row r="4245" spans="1:2">
      <c r="A4245" s="23">
        <v>111789</v>
      </c>
      <c r="B4245" s="1" t="s">
        <v>4305</v>
      </c>
    </row>
    <row r="4246" spans="1:2">
      <c r="A4246" s="23">
        <v>111790</v>
      </c>
      <c r="B4246" s="1" t="s">
        <v>4306</v>
      </c>
    </row>
    <row r="4247" spans="1:2">
      <c r="A4247" s="23">
        <v>111791</v>
      </c>
      <c r="B4247" s="1" t="s">
        <v>4307</v>
      </c>
    </row>
    <row r="4248" spans="1:2">
      <c r="A4248" s="23">
        <v>111792</v>
      </c>
      <c r="B4248" s="1" t="s">
        <v>4308</v>
      </c>
    </row>
    <row r="4249" spans="1:2">
      <c r="A4249" s="23">
        <v>111793</v>
      </c>
      <c r="B4249" s="1" t="s">
        <v>4309</v>
      </c>
    </row>
    <row r="4250" spans="1:2">
      <c r="A4250" s="23">
        <v>111794</v>
      </c>
      <c r="B4250" s="1" t="s">
        <v>4310</v>
      </c>
    </row>
    <row r="4251" spans="1:2">
      <c r="A4251" s="23">
        <v>111795</v>
      </c>
      <c r="B4251" s="1" t="s">
        <v>4311</v>
      </c>
    </row>
    <row r="4252" spans="1:2">
      <c r="A4252" s="23">
        <v>111796</v>
      </c>
      <c r="B4252" s="1" t="s">
        <v>4312</v>
      </c>
    </row>
    <row r="4253" spans="1:2">
      <c r="A4253" s="23">
        <v>111797</v>
      </c>
      <c r="B4253" s="1" t="s">
        <v>4313</v>
      </c>
    </row>
    <row r="4254" spans="1:2">
      <c r="A4254" s="23">
        <v>111806</v>
      </c>
      <c r="B4254" s="1" t="s">
        <v>4314</v>
      </c>
    </row>
    <row r="4255" spans="1:2">
      <c r="A4255" s="23">
        <v>111807</v>
      </c>
      <c r="B4255" s="1" t="s">
        <v>4315</v>
      </c>
    </row>
    <row r="4256" spans="1:2">
      <c r="A4256" s="23">
        <v>111808</v>
      </c>
      <c r="B4256" s="1" t="s">
        <v>4316</v>
      </c>
    </row>
    <row r="4257" spans="1:2">
      <c r="A4257" s="23">
        <v>111809</v>
      </c>
      <c r="B4257" s="1" t="s">
        <v>4317</v>
      </c>
    </row>
    <row r="4258" spans="1:2">
      <c r="A4258" s="23">
        <v>111810</v>
      </c>
      <c r="B4258" s="1" t="s">
        <v>4318</v>
      </c>
    </row>
    <row r="4259" spans="1:2">
      <c r="A4259" s="23">
        <v>111811</v>
      </c>
      <c r="B4259" s="1" t="s">
        <v>4319</v>
      </c>
    </row>
    <row r="4260" spans="1:2">
      <c r="A4260" s="23">
        <v>111812</v>
      </c>
      <c r="B4260" s="1" t="s">
        <v>4320</v>
      </c>
    </row>
    <row r="4261" spans="1:2">
      <c r="A4261" s="23">
        <v>111813</v>
      </c>
      <c r="B4261" s="1" t="s">
        <v>4321</v>
      </c>
    </row>
    <row r="4262" spans="1:2">
      <c r="A4262" s="23">
        <v>111814</v>
      </c>
      <c r="B4262" s="1" t="s">
        <v>4322</v>
      </c>
    </row>
    <row r="4263" spans="1:2">
      <c r="A4263" s="23">
        <v>111815</v>
      </c>
      <c r="B4263" s="1" t="s">
        <v>4323</v>
      </c>
    </row>
    <row r="4264" spans="1:2">
      <c r="A4264" s="23">
        <v>111816</v>
      </c>
      <c r="B4264" s="1" t="s">
        <v>4324</v>
      </c>
    </row>
    <row r="4265" spans="1:2">
      <c r="A4265" s="23">
        <v>111817</v>
      </c>
      <c r="B4265" s="1" t="s">
        <v>4325</v>
      </c>
    </row>
    <row r="4266" spans="1:2">
      <c r="A4266" s="23">
        <v>111818</v>
      </c>
      <c r="B4266" s="1" t="s">
        <v>4326</v>
      </c>
    </row>
    <row r="4267" spans="1:2">
      <c r="A4267" s="23">
        <v>111819</v>
      </c>
      <c r="B4267" s="1" t="s">
        <v>4327</v>
      </c>
    </row>
    <row r="4268" spans="1:2">
      <c r="A4268" s="23">
        <v>111820</v>
      </c>
      <c r="B4268" s="1" t="s">
        <v>4328</v>
      </c>
    </row>
    <row r="4269" spans="1:2">
      <c r="A4269" s="23">
        <v>111821</v>
      </c>
      <c r="B4269" s="1" t="s">
        <v>4329</v>
      </c>
    </row>
    <row r="4270" spans="1:2">
      <c r="A4270" s="23">
        <v>111822</v>
      </c>
      <c r="B4270" s="1" t="s">
        <v>4330</v>
      </c>
    </row>
    <row r="4271" spans="1:2">
      <c r="A4271" s="23">
        <v>111823</v>
      </c>
      <c r="B4271" s="1" t="s">
        <v>4331</v>
      </c>
    </row>
    <row r="4272" spans="1:2">
      <c r="A4272" s="23">
        <v>111824</v>
      </c>
      <c r="B4272" s="1" t="s">
        <v>4332</v>
      </c>
    </row>
    <row r="4273" spans="1:2">
      <c r="A4273" s="23">
        <v>111825</v>
      </c>
      <c r="B4273" s="1" t="s">
        <v>4333</v>
      </c>
    </row>
    <row r="4274" spans="1:2">
      <c r="A4274" s="23">
        <v>111826</v>
      </c>
      <c r="B4274" s="1" t="s">
        <v>4334</v>
      </c>
    </row>
    <row r="4275" spans="1:2">
      <c r="A4275" s="23">
        <v>111827</v>
      </c>
      <c r="B4275" s="1" t="s">
        <v>4335</v>
      </c>
    </row>
    <row r="4276" spans="1:2">
      <c r="A4276" s="23">
        <v>111828</v>
      </c>
      <c r="B4276" s="1" t="s">
        <v>4336</v>
      </c>
    </row>
    <row r="4277" spans="1:2">
      <c r="A4277" s="23">
        <v>111829</v>
      </c>
      <c r="B4277" s="1" t="s">
        <v>4337</v>
      </c>
    </row>
    <row r="4278" spans="1:2">
      <c r="A4278" s="23">
        <v>111830</v>
      </c>
      <c r="B4278" s="1" t="s">
        <v>4338</v>
      </c>
    </row>
    <row r="4279" spans="1:2">
      <c r="A4279" s="23">
        <v>111831</v>
      </c>
      <c r="B4279" s="1" t="s">
        <v>4339</v>
      </c>
    </row>
    <row r="4280" spans="1:2">
      <c r="A4280" s="23">
        <v>111833</v>
      </c>
      <c r="B4280" s="1" t="s">
        <v>4340</v>
      </c>
    </row>
    <row r="4281" spans="1:2">
      <c r="A4281" s="23">
        <v>111834</v>
      </c>
      <c r="B4281" s="1" t="s">
        <v>4341</v>
      </c>
    </row>
    <row r="4282" spans="1:2">
      <c r="A4282" s="23">
        <v>111835</v>
      </c>
      <c r="B4282" s="1" t="s">
        <v>4342</v>
      </c>
    </row>
    <row r="4283" spans="1:2">
      <c r="A4283" s="23">
        <v>111836</v>
      </c>
      <c r="B4283" s="1" t="s">
        <v>4343</v>
      </c>
    </row>
    <row r="4284" spans="1:2">
      <c r="A4284" s="23">
        <v>111837</v>
      </c>
      <c r="B4284" s="1" t="s">
        <v>4344</v>
      </c>
    </row>
    <row r="4285" spans="1:2">
      <c r="A4285" s="23">
        <v>111839</v>
      </c>
      <c r="B4285" s="1" t="s">
        <v>4345</v>
      </c>
    </row>
    <row r="4286" spans="1:2">
      <c r="A4286" s="23">
        <v>111840</v>
      </c>
      <c r="B4286" s="1" t="s">
        <v>4346</v>
      </c>
    </row>
    <row r="4287" spans="1:2">
      <c r="A4287" s="23">
        <v>111841</v>
      </c>
      <c r="B4287" s="1" t="s">
        <v>4347</v>
      </c>
    </row>
    <row r="4288" spans="1:2">
      <c r="A4288" s="23">
        <v>111842</v>
      </c>
      <c r="B4288" s="1" t="s">
        <v>4348</v>
      </c>
    </row>
    <row r="4289" spans="1:2">
      <c r="A4289" s="23">
        <v>111843</v>
      </c>
      <c r="B4289" s="1" t="s">
        <v>4349</v>
      </c>
    </row>
    <row r="4290" spans="1:2">
      <c r="A4290" s="23">
        <v>111844</v>
      </c>
      <c r="B4290" s="1" t="s">
        <v>4350</v>
      </c>
    </row>
    <row r="4291" spans="1:2">
      <c r="A4291" s="23">
        <v>111845</v>
      </c>
      <c r="B4291" s="1" t="s">
        <v>4351</v>
      </c>
    </row>
    <row r="4292" spans="1:2">
      <c r="A4292" s="23">
        <v>111846</v>
      </c>
      <c r="B4292" s="1" t="s">
        <v>4352</v>
      </c>
    </row>
    <row r="4293" spans="1:2">
      <c r="A4293" s="23">
        <v>111847</v>
      </c>
      <c r="B4293" s="1" t="s">
        <v>4353</v>
      </c>
    </row>
    <row r="4294" spans="1:2">
      <c r="A4294" s="23">
        <v>111848</v>
      </c>
      <c r="B4294" s="1" t="s">
        <v>4354</v>
      </c>
    </row>
    <row r="4295" spans="1:2">
      <c r="A4295" s="23">
        <v>111849</v>
      </c>
      <c r="B4295" s="1" t="s">
        <v>4355</v>
      </c>
    </row>
    <row r="4296" spans="1:2">
      <c r="A4296" s="23">
        <v>111850</v>
      </c>
      <c r="B4296" s="1" t="s">
        <v>4356</v>
      </c>
    </row>
    <row r="4297" spans="1:2">
      <c r="A4297" s="23">
        <v>111851</v>
      </c>
      <c r="B4297" s="1" t="s">
        <v>4357</v>
      </c>
    </row>
    <row r="4298" spans="1:2">
      <c r="A4298" s="23">
        <v>111852</v>
      </c>
      <c r="B4298" s="1" t="s">
        <v>4358</v>
      </c>
    </row>
    <row r="4299" spans="1:2">
      <c r="A4299" s="23">
        <v>111853</v>
      </c>
      <c r="B4299" s="1" t="s">
        <v>4359</v>
      </c>
    </row>
    <row r="4300" spans="1:2">
      <c r="A4300" s="23">
        <v>111854</v>
      </c>
      <c r="B4300" s="1" t="s">
        <v>4360</v>
      </c>
    </row>
    <row r="4301" spans="1:2">
      <c r="A4301" s="23">
        <v>111855</v>
      </c>
      <c r="B4301" s="1" t="s">
        <v>4361</v>
      </c>
    </row>
    <row r="4302" spans="1:2">
      <c r="A4302" s="23">
        <v>111856</v>
      </c>
      <c r="B4302" s="1" t="s">
        <v>4362</v>
      </c>
    </row>
    <row r="4303" spans="1:2">
      <c r="A4303" s="23">
        <v>111857</v>
      </c>
      <c r="B4303" s="1" t="s">
        <v>4363</v>
      </c>
    </row>
    <row r="4304" spans="1:2">
      <c r="A4304" s="23">
        <v>111858</v>
      </c>
      <c r="B4304" s="1" t="s">
        <v>4364</v>
      </c>
    </row>
    <row r="4305" spans="1:2">
      <c r="A4305" s="23">
        <v>111962</v>
      </c>
      <c r="B4305" s="1" t="s">
        <v>4365</v>
      </c>
    </row>
    <row r="4306" spans="1:2">
      <c r="A4306" s="23">
        <v>114394</v>
      </c>
      <c r="B4306" s="1" t="s">
        <v>4366</v>
      </c>
    </row>
    <row r="4307" spans="1:2">
      <c r="A4307" s="23">
        <v>114395</v>
      </c>
      <c r="B4307" s="1" t="s">
        <v>4367</v>
      </c>
    </row>
    <row r="4308" spans="1:2">
      <c r="A4308" s="23">
        <v>114396</v>
      </c>
      <c r="B4308" s="1" t="s">
        <v>4368</v>
      </c>
    </row>
    <row r="4309" spans="1:2">
      <c r="A4309" s="23">
        <v>114397</v>
      </c>
      <c r="B4309" s="1" t="s">
        <v>4369</v>
      </c>
    </row>
    <row r="4310" spans="1:2">
      <c r="A4310" s="23">
        <v>114398</v>
      </c>
      <c r="B4310" s="1" t="s">
        <v>4370</v>
      </c>
    </row>
    <row r="4311" spans="1:2">
      <c r="A4311" s="23">
        <v>114399</v>
      </c>
      <c r="B4311" s="1" t="s">
        <v>4371</v>
      </c>
    </row>
    <row r="4312" spans="1:2">
      <c r="A4312" s="23">
        <v>114400</v>
      </c>
      <c r="B4312" s="1" t="s">
        <v>4372</v>
      </c>
    </row>
    <row r="4313" spans="1:2">
      <c r="A4313" s="23">
        <v>114401</v>
      </c>
      <c r="B4313" s="1" t="s">
        <v>4373</v>
      </c>
    </row>
    <row r="4314" spans="1:2">
      <c r="A4314" s="23">
        <v>114403</v>
      </c>
      <c r="B4314" s="1" t="s">
        <v>4374</v>
      </c>
    </row>
    <row r="4315" spans="1:2">
      <c r="A4315" s="23">
        <v>114404</v>
      </c>
      <c r="B4315" s="1" t="s">
        <v>4375</v>
      </c>
    </row>
    <row r="4316" spans="1:2">
      <c r="A4316" s="23">
        <v>114405</v>
      </c>
      <c r="B4316" s="1" t="s">
        <v>4376</v>
      </c>
    </row>
    <row r="4317" spans="1:2">
      <c r="A4317" s="23">
        <v>114406</v>
      </c>
      <c r="B4317" s="1" t="s">
        <v>4377</v>
      </c>
    </row>
    <row r="4318" spans="1:2">
      <c r="A4318" s="23">
        <v>114407</v>
      </c>
      <c r="B4318" s="1" t="s">
        <v>4378</v>
      </c>
    </row>
    <row r="4319" spans="1:2">
      <c r="A4319" s="23">
        <v>114408</v>
      </c>
      <c r="B4319" s="1" t="s">
        <v>4379</v>
      </c>
    </row>
    <row r="4320" spans="1:2">
      <c r="A4320" s="23">
        <v>114409</v>
      </c>
      <c r="B4320" s="1" t="s">
        <v>4380</v>
      </c>
    </row>
    <row r="4321" spans="1:2">
      <c r="A4321" s="23">
        <v>114410</v>
      </c>
      <c r="B4321" s="1" t="s">
        <v>4381</v>
      </c>
    </row>
    <row r="4322" spans="1:2">
      <c r="A4322" s="23">
        <v>114411</v>
      </c>
      <c r="B4322" s="1" t="s">
        <v>4382</v>
      </c>
    </row>
    <row r="4323" spans="1:2">
      <c r="A4323" s="23">
        <v>114412</v>
      </c>
      <c r="B4323" s="1" t="s">
        <v>4383</v>
      </c>
    </row>
    <row r="4324" spans="1:2">
      <c r="A4324" s="23">
        <v>114413</v>
      </c>
      <c r="B4324" s="1" t="s">
        <v>4384</v>
      </c>
    </row>
    <row r="4325" spans="1:2">
      <c r="A4325" s="23">
        <v>114414</v>
      </c>
      <c r="B4325" s="1" t="s">
        <v>4385</v>
      </c>
    </row>
    <row r="4326" spans="1:2">
      <c r="A4326" s="23">
        <v>114415</v>
      </c>
      <c r="B4326" s="1" t="s">
        <v>4386</v>
      </c>
    </row>
    <row r="4327" spans="1:2">
      <c r="A4327" s="23">
        <v>114416</v>
      </c>
      <c r="B4327" s="1" t="s">
        <v>4387</v>
      </c>
    </row>
    <row r="4328" spans="1:2">
      <c r="A4328" s="23">
        <v>114417</v>
      </c>
      <c r="B4328" s="1" t="s">
        <v>4388</v>
      </c>
    </row>
    <row r="4329" spans="1:2">
      <c r="A4329" s="23">
        <v>114418</v>
      </c>
      <c r="B4329" s="1" t="s">
        <v>4389</v>
      </c>
    </row>
    <row r="4330" spans="1:2">
      <c r="A4330" s="23">
        <v>114419</v>
      </c>
      <c r="B4330" s="1" t="s">
        <v>4390</v>
      </c>
    </row>
    <row r="4331" spans="1:2">
      <c r="A4331" s="23">
        <v>114420</v>
      </c>
      <c r="B4331" s="1" t="s">
        <v>4391</v>
      </c>
    </row>
    <row r="4332" spans="1:2">
      <c r="A4332" s="23">
        <v>114421</v>
      </c>
      <c r="B4332" s="1" t="s">
        <v>4392</v>
      </c>
    </row>
    <row r="4333" spans="1:2">
      <c r="A4333" s="23">
        <v>114422</v>
      </c>
      <c r="B4333" s="1" t="s">
        <v>4393</v>
      </c>
    </row>
    <row r="4334" spans="1:2">
      <c r="A4334" s="23">
        <v>114423</v>
      </c>
      <c r="B4334" s="1" t="s">
        <v>4394</v>
      </c>
    </row>
    <row r="4335" spans="1:2">
      <c r="A4335" s="23">
        <v>114424</v>
      </c>
      <c r="B4335" s="1" t="s">
        <v>4395</v>
      </c>
    </row>
    <row r="4336" spans="1:2">
      <c r="A4336" s="23">
        <v>114425</v>
      </c>
      <c r="B4336" s="1" t="s">
        <v>4396</v>
      </c>
    </row>
    <row r="4337" spans="1:2">
      <c r="A4337" s="23">
        <v>114426</v>
      </c>
      <c r="B4337" s="1" t="s">
        <v>4397</v>
      </c>
    </row>
    <row r="4338" spans="1:2">
      <c r="A4338" s="23">
        <v>114427</v>
      </c>
      <c r="B4338" s="1" t="s">
        <v>4398</v>
      </c>
    </row>
    <row r="4339" spans="1:2">
      <c r="A4339" s="23">
        <v>114428</v>
      </c>
      <c r="B4339" s="1" t="s">
        <v>4399</v>
      </c>
    </row>
    <row r="4340" spans="1:2">
      <c r="A4340" s="23">
        <v>114429</v>
      </c>
      <c r="B4340" s="1" t="s">
        <v>4400</v>
      </c>
    </row>
    <row r="4341" spans="1:2">
      <c r="A4341" s="23">
        <v>114430</v>
      </c>
      <c r="B4341" s="1" t="s">
        <v>4401</v>
      </c>
    </row>
    <row r="4342" spans="1:2">
      <c r="A4342" s="23">
        <v>114431</v>
      </c>
      <c r="B4342" s="1" t="s">
        <v>4402</v>
      </c>
    </row>
    <row r="4343" spans="1:2">
      <c r="A4343" s="23">
        <v>114434</v>
      </c>
      <c r="B4343" s="1" t="s">
        <v>4403</v>
      </c>
    </row>
    <row r="4344" spans="1:2">
      <c r="A4344" s="23">
        <v>114436</v>
      </c>
      <c r="B4344" s="1" t="s">
        <v>4404</v>
      </c>
    </row>
    <row r="4345" spans="1:2">
      <c r="A4345" s="23">
        <v>114439</v>
      </c>
      <c r="B4345" s="1" t="s">
        <v>4405</v>
      </c>
    </row>
    <row r="4346" spans="1:2">
      <c r="A4346" s="23">
        <v>114440</v>
      </c>
      <c r="B4346" s="1" t="s">
        <v>4406</v>
      </c>
    </row>
    <row r="4347" spans="1:2">
      <c r="A4347" s="23">
        <v>114443</v>
      </c>
      <c r="B4347" s="1" t="s">
        <v>4407</v>
      </c>
    </row>
    <row r="4348" spans="1:2">
      <c r="A4348" s="23">
        <v>114444</v>
      </c>
      <c r="B4348" s="1" t="s">
        <v>4408</v>
      </c>
    </row>
    <row r="4349" spans="1:2">
      <c r="A4349" s="23">
        <v>114451</v>
      </c>
      <c r="B4349" s="1" t="s">
        <v>4409</v>
      </c>
    </row>
    <row r="4350" spans="1:2">
      <c r="A4350" s="23">
        <v>114452</v>
      </c>
      <c r="B4350" s="1" t="s">
        <v>4410</v>
      </c>
    </row>
    <row r="4351" spans="1:2">
      <c r="A4351" s="23">
        <v>114453</v>
      </c>
      <c r="B4351" s="1" t="s">
        <v>4411</v>
      </c>
    </row>
    <row r="4352" spans="1:2">
      <c r="A4352" s="23">
        <v>114454</v>
      </c>
      <c r="B4352" s="1" t="s">
        <v>4412</v>
      </c>
    </row>
    <row r="4353" spans="1:2">
      <c r="A4353" s="23">
        <v>114468</v>
      </c>
      <c r="B4353" s="1" t="s">
        <v>4413</v>
      </c>
    </row>
    <row r="4354" spans="1:2">
      <c r="A4354" s="23">
        <v>114469</v>
      </c>
      <c r="B4354" s="1" t="s">
        <v>4414</v>
      </c>
    </row>
    <row r="4355" spans="1:2">
      <c r="A4355" s="23">
        <v>114470</v>
      </c>
      <c r="B4355" s="1" t="s">
        <v>4415</v>
      </c>
    </row>
    <row r="4356" spans="1:2">
      <c r="A4356" s="23">
        <v>114472</v>
      </c>
      <c r="B4356" s="1" t="s">
        <v>4416</v>
      </c>
    </row>
    <row r="4357" spans="1:2">
      <c r="A4357" s="23">
        <v>114474</v>
      </c>
      <c r="B4357" s="1" t="s">
        <v>4417</v>
      </c>
    </row>
    <row r="4358" spans="1:2">
      <c r="A4358" s="23">
        <v>114475</v>
      </c>
      <c r="B4358" s="1" t="s">
        <v>4418</v>
      </c>
    </row>
    <row r="4359" spans="1:2">
      <c r="A4359" s="23">
        <v>114478</v>
      </c>
      <c r="B4359" s="1" t="s">
        <v>4419</v>
      </c>
    </row>
    <row r="4360" spans="1:2">
      <c r="A4360" s="23">
        <v>114479</v>
      </c>
      <c r="B4360" s="1" t="s">
        <v>4420</v>
      </c>
    </row>
    <row r="4361" spans="1:2">
      <c r="A4361" s="23">
        <v>114480</v>
      </c>
      <c r="B4361" s="1" t="s">
        <v>4421</v>
      </c>
    </row>
    <row r="4362" spans="1:2">
      <c r="A4362" s="23">
        <v>114481</v>
      </c>
      <c r="B4362" s="1" t="s">
        <v>4422</v>
      </c>
    </row>
    <row r="4363" spans="1:2">
      <c r="A4363" s="23">
        <v>114482</v>
      </c>
      <c r="B4363" s="1" t="s">
        <v>4423</v>
      </c>
    </row>
    <row r="4364" spans="1:2">
      <c r="A4364" s="23">
        <v>114483</v>
      </c>
      <c r="B4364" s="1" t="s">
        <v>4424</v>
      </c>
    </row>
    <row r="4365" spans="1:2">
      <c r="A4365" s="23">
        <v>114486</v>
      </c>
      <c r="B4365" s="1" t="s">
        <v>4425</v>
      </c>
    </row>
    <row r="4366" spans="1:2">
      <c r="A4366" s="23">
        <v>114487</v>
      </c>
      <c r="B4366" s="1" t="s">
        <v>4426</v>
      </c>
    </row>
    <row r="4367" spans="1:2">
      <c r="A4367" s="23">
        <v>114514</v>
      </c>
      <c r="B4367" s="1" t="s">
        <v>4427</v>
      </c>
    </row>
    <row r="4368" spans="1:2">
      <c r="A4368" s="23">
        <v>114515</v>
      </c>
      <c r="B4368" s="1" t="s">
        <v>4428</v>
      </c>
    </row>
    <row r="4369" spans="1:2">
      <c r="A4369" s="23">
        <v>114516</v>
      </c>
      <c r="B4369" s="1" t="s">
        <v>4429</v>
      </c>
    </row>
    <row r="4370" spans="1:2">
      <c r="A4370" s="23">
        <v>114522</v>
      </c>
      <c r="B4370" s="1" t="s">
        <v>4430</v>
      </c>
    </row>
    <row r="4371" spans="1:2">
      <c r="A4371" s="23">
        <v>114523</v>
      </c>
      <c r="B4371" s="1" t="s">
        <v>4431</v>
      </c>
    </row>
    <row r="4372" spans="1:2">
      <c r="A4372" s="23">
        <v>114524</v>
      </c>
      <c r="B4372" s="1" t="s">
        <v>4432</v>
      </c>
    </row>
    <row r="4373" spans="1:2">
      <c r="A4373" s="23">
        <v>114525</v>
      </c>
      <c r="B4373" s="1" t="s">
        <v>4433</v>
      </c>
    </row>
    <row r="4374" spans="1:2">
      <c r="A4374" s="23">
        <v>114526</v>
      </c>
      <c r="B4374" s="1" t="s">
        <v>4434</v>
      </c>
    </row>
    <row r="4375" spans="1:2">
      <c r="A4375" s="23">
        <v>114527</v>
      </c>
      <c r="B4375" s="1" t="s">
        <v>4435</v>
      </c>
    </row>
    <row r="4376" spans="1:2">
      <c r="A4376" s="23">
        <v>114528</v>
      </c>
      <c r="B4376" s="1" t="s">
        <v>4436</v>
      </c>
    </row>
    <row r="4377" spans="1:2">
      <c r="A4377" s="23">
        <v>114529</v>
      </c>
      <c r="B4377" s="1" t="s">
        <v>4437</v>
      </c>
    </row>
    <row r="4378" spans="1:2">
      <c r="A4378" s="23">
        <v>114530</v>
      </c>
      <c r="B4378" s="1" t="s">
        <v>4438</v>
      </c>
    </row>
    <row r="4379" spans="1:2">
      <c r="A4379" s="23">
        <v>114531</v>
      </c>
      <c r="B4379" s="1" t="s">
        <v>4439</v>
      </c>
    </row>
    <row r="4380" spans="1:2">
      <c r="A4380" s="23">
        <v>114532</v>
      </c>
      <c r="B4380" s="1" t="s">
        <v>4440</v>
      </c>
    </row>
    <row r="4381" spans="1:2">
      <c r="A4381" s="23">
        <v>114533</v>
      </c>
      <c r="B4381" s="1" t="s">
        <v>4441</v>
      </c>
    </row>
    <row r="4382" spans="1:2">
      <c r="A4382" s="23">
        <v>114534</v>
      </c>
      <c r="B4382" s="1" t="s">
        <v>4442</v>
      </c>
    </row>
    <row r="4383" spans="1:2">
      <c r="A4383" s="23">
        <v>114535</v>
      </c>
      <c r="B4383" s="1" t="s">
        <v>4443</v>
      </c>
    </row>
    <row r="4384" spans="1:2">
      <c r="A4384" s="23">
        <v>114546</v>
      </c>
      <c r="B4384" s="1" t="s">
        <v>4444</v>
      </c>
    </row>
    <row r="4385" spans="1:2">
      <c r="A4385" s="23">
        <v>114547</v>
      </c>
      <c r="B4385" s="1" t="s">
        <v>4445</v>
      </c>
    </row>
    <row r="4386" spans="1:2">
      <c r="A4386" s="23">
        <v>114548</v>
      </c>
      <c r="B4386" s="1" t="s">
        <v>4446</v>
      </c>
    </row>
    <row r="4387" spans="1:2">
      <c r="A4387" s="23">
        <v>114549</v>
      </c>
      <c r="B4387" s="1" t="s">
        <v>4447</v>
      </c>
    </row>
    <row r="4388" spans="1:2">
      <c r="A4388" s="23">
        <v>114550</v>
      </c>
      <c r="B4388" s="1" t="s">
        <v>4448</v>
      </c>
    </row>
    <row r="4389" spans="1:2">
      <c r="A4389" s="23">
        <v>114551</v>
      </c>
      <c r="B4389" s="1" t="s">
        <v>4449</v>
      </c>
    </row>
    <row r="4390" spans="1:2">
      <c r="A4390" s="23">
        <v>114552</v>
      </c>
      <c r="B4390" s="1" t="s">
        <v>4450</v>
      </c>
    </row>
    <row r="4391" spans="1:2">
      <c r="A4391" s="23">
        <v>114553</v>
      </c>
      <c r="B4391" s="1" t="s">
        <v>4451</v>
      </c>
    </row>
    <row r="4392" spans="1:2">
      <c r="A4392" s="23">
        <v>114556</v>
      </c>
      <c r="B4392" s="1" t="s">
        <v>4452</v>
      </c>
    </row>
    <row r="4393" spans="1:2">
      <c r="A4393" s="23">
        <v>114557</v>
      </c>
      <c r="B4393" s="1" t="s">
        <v>4453</v>
      </c>
    </row>
    <row r="4394" spans="1:2">
      <c r="A4394" s="23">
        <v>114558</v>
      </c>
      <c r="B4394" s="1" t="s">
        <v>4454</v>
      </c>
    </row>
    <row r="4395" spans="1:2">
      <c r="A4395" s="23">
        <v>114560</v>
      </c>
      <c r="B4395" s="1" t="s">
        <v>4455</v>
      </c>
    </row>
    <row r="4396" spans="1:2">
      <c r="A4396" s="23">
        <v>114561</v>
      </c>
      <c r="B4396" s="1" t="s">
        <v>4456</v>
      </c>
    </row>
    <row r="4397" spans="1:2">
      <c r="A4397" s="23">
        <v>114562</v>
      </c>
      <c r="B4397" s="1" t="s">
        <v>4457</v>
      </c>
    </row>
    <row r="4398" spans="1:2">
      <c r="A4398" s="23">
        <v>114563</v>
      </c>
      <c r="B4398" s="1" t="s">
        <v>4458</v>
      </c>
    </row>
    <row r="4399" spans="1:2">
      <c r="A4399" s="23">
        <v>114565</v>
      </c>
      <c r="B4399" s="1" t="s">
        <v>4459</v>
      </c>
    </row>
    <row r="4400" spans="1:2">
      <c r="A4400" s="23">
        <v>114566</v>
      </c>
      <c r="B4400" s="1" t="s">
        <v>4460</v>
      </c>
    </row>
    <row r="4401" spans="1:2">
      <c r="A4401" s="23">
        <v>114573</v>
      </c>
      <c r="B4401" s="1" t="s">
        <v>4461</v>
      </c>
    </row>
    <row r="4402" spans="1:2">
      <c r="A4402" s="23">
        <v>114577</v>
      </c>
      <c r="B4402" s="1" t="s">
        <v>4462</v>
      </c>
    </row>
    <row r="4403" spans="1:2">
      <c r="A4403" s="23">
        <v>114578</v>
      </c>
      <c r="B4403" s="1" t="s">
        <v>4463</v>
      </c>
    </row>
    <row r="4404" spans="1:2">
      <c r="A4404" s="23">
        <v>114579</v>
      </c>
      <c r="B4404" s="1" t="s">
        <v>4464</v>
      </c>
    </row>
    <row r="4405" spans="1:2">
      <c r="A4405" s="23">
        <v>114580</v>
      </c>
      <c r="B4405" s="1" t="s">
        <v>4465</v>
      </c>
    </row>
    <row r="4406" spans="1:2">
      <c r="A4406" s="23">
        <v>114581</v>
      </c>
      <c r="B4406" s="1" t="s">
        <v>4466</v>
      </c>
    </row>
    <row r="4407" spans="1:2">
      <c r="A4407" s="23">
        <v>114582</v>
      </c>
      <c r="B4407" s="1" t="s">
        <v>4467</v>
      </c>
    </row>
    <row r="4408" spans="1:2">
      <c r="A4408" s="23">
        <v>114583</v>
      </c>
      <c r="B4408" s="1" t="s">
        <v>4468</v>
      </c>
    </row>
    <row r="4409" spans="1:2">
      <c r="A4409" s="23">
        <v>114586</v>
      </c>
      <c r="B4409" s="1" t="s">
        <v>4469</v>
      </c>
    </row>
    <row r="4410" spans="1:2">
      <c r="A4410" s="23">
        <v>114587</v>
      </c>
      <c r="B4410" s="1" t="s">
        <v>4470</v>
      </c>
    </row>
    <row r="4411" spans="1:2">
      <c r="A4411" s="23">
        <v>114588</v>
      </c>
      <c r="B4411" s="1" t="s">
        <v>4471</v>
      </c>
    </row>
    <row r="4412" spans="1:2">
      <c r="A4412" s="23">
        <v>114590</v>
      </c>
      <c r="B4412" s="1" t="s">
        <v>4472</v>
      </c>
    </row>
    <row r="4413" spans="1:2">
      <c r="A4413" s="23">
        <v>114592</v>
      </c>
      <c r="B4413" s="1" t="s">
        <v>4473</v>
      </c>
    </row>
    <row r="4414" spans="1:2">
      <c r="A4414" s="23">
        <v>114593</v>
      </c>
      <c r="B4414" s="1" t="s">
        <v>4474</v>
      </c>
    </row>
    <row r="4415" spans="1:2">
      <c r="A4415" s="23">
        <v>114598</v>
      </c>
      <c r="B4415" s="1" t="s">
        <v>4475</v>
      </c>
    </row>
    <row r="4416" spans="1:2">
      <c r="A4416" s="23">
        <v>114623</v>
      </c>
      <c r="B4416" s="1" t="s">
        <v>4476</v>
      </c>
    </row>
    <row r="4417" spans="1:2">
      <c r="A4417" s="23">
        <v>114624</v>
      </c>
      <c r="B4417" s="1" t="s">
        <v>4477</v>
      </c>
    </row>
    <row r="4418" spans="1:2">
      <c r="A4418" s="23">
        <v>114625</v>
      </c>
      <c r="B4418" s="1" t="s">
        <v>4478</v>
      </c>
    </row>
    <row r="4419" spans="1:2">
      <c r="A4419" s="23">
        <v>114626</v>
      </c>
      <c r="B4419" s="1" t="s">
        <v>4479</v>
      </c>
    </row>
    <row r="4420" spans="1:2">
      <c r="A4420" s="23">
        <v>114627</v>
      </c>
      <c r="B4420" s="1" t="s">
        <v>4480</v>
      </c>
    </row>
    <row r="4421" spans="1:2">
      <c r="A4421" s="23">
        <v>114630</v>
      </c>
      <c r="B4421" s="1" t="s">
        <v>4481</v>
      </c>
    </row>
    <row r="4422" spans="1:2">
      <c r="A4422" s="23">
        <v>114631</v>
      </c>
      <c r="B4422" s="1" t="s">
        <v>4482</v>
      </c>
    </row>
    <row r="4423" spans="1:2">
      <c r="A4423" s="23">
        <v>114632</v>
      </c>
      <c r="B4423" s="1" t="s">
        <v>4483</v>
      </c>
    </row>
    <row r="4424" spans="1:2">
      <c r="A4424" s="23">
        <v>114633</v>
      </c>
      <c r="B4424" s="1" t="s">
        <v>4484</v>
      </c>
    </row>
    <row r="4425" spans="1:2">
      <c r="A4425" s="23">
        <v>114634</v>
      </c>
      <c r="B4425" s="1" t="s">
        <v>4485</v>
      </c>
    </row>
    <row r="4426" spans="1:2">
      <c r="A4426" s="23">
        <v>114635</v>
      </c>
      <c r="B4426" s="1" t="s">
        <v>4486</v>
      </c>
    </row>
    <row r="4427" spans="1:2">
      <c r="A4427" s="23">
        <v>114636</v>
      </c>
      <c r="B4427" s="1" t="s">
        <v>4487</v>
      </c>
    </row>
    <row r="4428" spans="1:2">
      <c r="A4428" s="23">
        <v>114637</v>
      </c>
      <c r="B4428" s="1" t="s">
        <v>4488</v>
      </c>
    </row>
    <row r="4429" spans="1:2">
      <c r="A4429" s="23">
        <v>114638</v>
      </c>
      <c r="B4429" s="1" t="s">
        <v>4489</v>
      </c>
    </row>
    <row r="4430" spans="1:2">
      <c r="A4430" s="23">
        <v>114639</v>
      </c>
      <c r="B4430" s="1" t="s">
        <v>4490</v>
      </c>
    </row>
    <row r="4431" spans="1:2">
      <c r="A4431" s="23">
        <v>114640</v>
      </c>
      <c r="B4431" s="1" t="s">
        <v>4491</v>
      </c>
    </row>
    <row r="4432" spans="1:2">
      <c r="A4432" s="23">
        <v>114641</v>
      </c>
      <c r="B4432" s="1" t="s">
        <v>4492</v>
      </c>
    </row>
    <row r="4433" spans="1:2">
      <c r="A4433" s="23">
        <v>114642</v>
      </c>
      <c r="B4433" s="1" t="s">
        <v>4493</v>
      </c>
    </row>
    <row r="4434" spans="1:2">
      <c r="A4434" s="23">
        <v>114643</v>
      </c>
      <c r="B4434" s="1" t="s">
        <v>4494</v>
      </c>
    </row>
    <row r="4435" spans="1:2">
      <c r="A4435" s="23">
        <v>114644</v>
      </c>
      <c r="B4435" s="1" t="s">
        <v>4495</v>
      </c>
    </row>
    <row r="4436" spans="1:2">
      <c r="A4436" s="23">
        <v>114645</v>
      </c>
      <c r="B4436" s="1" t="s">
        <v>4496</v>
      </c>
    </row>
    <row r="4437" spans="1:2">
      <c r="A4437" s="23">
        <v>114646</v>
      </c>
      <c r="B4437" s="1" t="s">
        <v>4497</v>
      </c>
    </row>
    <row r="4438" spans="1:2">
      <c r="A4438" s="23">
        <v>114651</v>
      </c>
      <c r="B4438" s="1" t="s">
        <v>4498</v>
      </c>
    </row>
    <row r="4439" spans="1:2">
      <c r="A4439" s="23">
        <v>114652</v>
      </c>
      <c r="B4439" s="1" t="s">
        <v>4499</v>
      </c>
    </row>
    <row r="4440" spans="1:2">
      <c r="A4440" s="23">
        <v>114724</v>
      </c>
      <c r="B4440" s="1" t="s">
        <v>4500</v>
      </c>
    </row>
    <row r="4441" spans="1:2">
      <c r="A4441" s="23">
        <v>114725</v>
      </c>
      <c r="B4441" s="1" t="s">
        <v>4501</v>
      </c>
    </row>
    <row r="4442" spans="1:2">
      <c r="A4442" s="23">
        <v>114726</v>
      </c>
      <c r="B4442" s="1" t="s">
        <v>4502</v>
      </c>
    </row>
    <row r="4443" spans="1:2">
      <c r="A4443" s="23">
        <v>114727</v>
      </c>
      <c r="B4443" s="1" t="s">
        <v>4503</v>
      </c>
    </row>
    <row r="4444" spans="1:2">
      <c r="A4444" s="23">
        <v>114728</v>
      </c>
      <c r="B4444" s="1" t="s">
        <v>4504</v>
      </c>
    </row>
    <row r="4445" spans="1:2">
      <c r="A4445" s="23">
        <v>114729</v>
      </c>
      <c r="B4445" s="1" t="s">
        <v>4505</v>
      </c>
    </row>
    <row r="4446" spans="1:2">
      <c r="A4446" s="23">
        <v>114730</v>
      </c>
      <c r="B4446" s="1" t="s">
        <v>4506</v>
      </c>
    </row>
    <row r="4447" spans="1:2">
      <c r="A4447" s="23">
        <v>114731</v>
      </c>
      <c r="B4447" s="1" t="s">
        <v>4507</v>
      </c>
    </row>
    <row r="4448" spans="1:2">
      <c r="A4448" s="23">
        <v>114732</v>
      </c>
      <c r="B4448" s="1" t="s">
        <v>4508</v>
      </c>
    </row>
    <row r="4449" spans="1:2">
      <c r="A4449" s="23">
        <v>114733</v>
      </c>
      <c r="B4449" s="1" t="s">
        <v>4509</v>
      </c>
    </row>
    <row r="4450" spans="1:2">
      <c r="A4450" s="23">
        <v>114734</v>
      </c>
      <c r="B4450" s="1" t="s">
        <v>4510</v>
      </c>
    </row>
    <row r="4451" spans="1:2">
      <c r="A4451" s="23">
        <v>114740</v>
      </c>
      <c r="B4451" s="1" t="s">
        <v>4511</v>
      </c>
    </row>
    <row r="4452" spans="1:2">
      <c r="A4452" s="23">
        <v>114741</v>
      </c>
      <c r="B4452" s="1" t="s">
        <v>4512</v>
      </c>
    </row>
    <row r="4453" spans="1:2">
      <c r="A4453" s="23">
        <v>114742</v>
      </c>
      <c r="B4453" s="1" t="s">
        <v>4513</v>
      </c>
    </row>
    <row r="4454" spans="1:2">
      <c r="A4454" s="23">
        <v>114743</v>
      </c>
      <c r="B4454" s="1" t="s">
        <v>4514</v>
      </c>
    </row>
    <row r="4455" spans="1:2">
      <c r="A4455" s="23">
        <v>114744</v>
      </c>
      <c r="B4455" s="1" t="s">
        <v>4515</v>
      </c>
    </row>
    <row r="4456" spans="1:2">
      <c r="A4456" s="23">
        <v>114745</v>
      </c>
      <c r="B4456" s="1" t="s">
        <v>4516</v>
      </c>
    </row>
    <row r="4457" spans="1:2">
      <c r="A4457" s="23">
        <v>114746</v>
      </c>
      <c r="B4457" s="1" t="s">
        <v>4517</v>
      </c>
    </row>
    <row r="4458" spans="1:2">
      <c r="A4458" s="23">
        <v>114747</v>
      </c>
      <c r="B4458" s="1" t="s">
        <v>4518</v>
      </c>
    </row>
    <row r="4459" spans="1:2">
      <c r="A4459" s="23">
        <v>114750</v>
      </c>
      <c r="B4459" s="1" t="s">
        <v>4519</v>
      </c>
    </row>
    <row r="4460" spans="1:2">
      <c r="A4460" s="23">
        <v>114767</v>
      </c>
      <c r="B4460" s="1" t="s">
        <v>4520</v>
      </c>
    </row>
    <row r="4461" spans="1:2">
      <c r="A4461" s="23">
        <v>114768</v>
      </c>
      <c r="B4461" s="1" t="s">
        <v>4521</v>
      </c>
    </row>
    <row r="4462" spans="1:2">
      <c r="A4462" s="23">
        <v>114786</v>
      </c>
      <c r="B4462" s="1" t="s">
        <v>4522</v>
      </c>
    </row>
    <row r="4463" spans="1:2">
      <c r="A4463" s="23">
        <v>114787</v>
      </c>
      <c r="B4463" s="1" t="s">
        <v>4523</v>
      </c>
    </row>
    <row r="4464" spans="1:2">
      <c r="A4464" s="23">
        <v>114788</v>
      </c>
      <c r="B4464" s="1" t="s">
        <v>4524</v>
      </c>
    </row>
    <row r="4465" spans="1:2">
      <c r="A4465" s="23">
        <v>114789</v>
      </c>
      <c r="B4465" s="1" t="s">
        <v>4525</v>
      </c>
    </row>
    <row r="4466" spans="1:2">
      <c r="A4466" s="23">
        <v>114959</v>
      </c>
      <c r="B4466" s="1" t="s">
        <v>4526</v>
      </c>
    </row>
    <row r="4467" spans="1:2">
      <c r="A4467" s="23">
        <v>114960</v>
      </c>
      <c r="B4467" s="1" t="s">
        <v>4527</v>
      </c>
    </row>
    <row r="4468" spans="1:2">
      <c r="A4468" s="23">
        <v>114974</v>
      </c>
      <c r="B4468" s="1" t="s">
        <v>4528</v>
      </c>
    </row>
    <row r="4469" spans="1:2">
      <c r="A4469" s="23">
        <v>114975</v>
      </c>
      <c r="B4469" s="1" t="s">
        <v>4529</v>
      </c>
    </row>
    <row r="4470" spans="1:2">
      <c r="A4470" s="23">
        <v>114977</v>
      </c>
      <c r="B4470" s="1" t="s">
        <v>4530</v>
      </c>
    </row>
    <row r="4471" spans="1:2">
      <c r="A4471" s="23">
        <v>114978</v>
      </c>
      <c r="B4471" s="1" t="s">
        <v>4531</v>
      </c>
    </row>
    <row r="4472" spans="1:2">
      <c r="A4472" s="23">
        <v>114979</v>
      </c>
      <c r="B4472" s="1" t="s">
        <v>4532</v>
      </c>
    </row>
    <row r="4473" spans="1:2">
      <c r="A4473" s="23">
        <v>114981</v>
      </c>
      <c r="B4473" s="1" t="s">
        <v>4533</v>
      </c>
    </row>
    <row r="4474" spans="1:2">
      <c r="A4474" s="23">
        <v>114984</v>
      </c>
      <c r="B4474" s="1" t="s">
        <v>4534</v>
      </c>
    </row>
    <row r="4475" spans="1:2">
      <c r="A4475" s="23">
        <v>114985</v>
      </c>
      <c r="B4475" s="1" t="s">
        <v>4535</v>
      </c>
    </row>
    <row r="4476" spans="1:2">
      <c r="A4476" s="23">
        <v>114986</v>
      </c>
      <c r="B4476" s="1" t="s">
        <v>4536</v>
      </c>
    </row>
    <row r="4477" spans="1:2">
      <c r="A4477" s="23">
        <v>114987</v>
      </c>
      <c r="B4477" s="1" t="s">
        <v>4537</v>
      </c>
    </row>
    <row r="4478" spans="1:2">
      <c r="A4478" s="23">
        <v>114988</v>
      </c>
      <c r="B4478" s="1" t="s">
        <v>4538</v>
      </c>
    </row>
    <row r="4479" spans="1:2">
      <c r="A4479" s="23">
        <v>114989</v>
      </c>
      <c r="B4479" s="1" t="s">
        <v>4539</v>
      </c>
    </row>
    <row r="4480" spans="1:2">
      <c r="A4480" s="23">
        <v>114990</v>
      </c>
      <c r="B4480" s="1" t="s">
        <v>4540</v>
      </c>
    </row>
    <row r="4481" spans="1:2">
      <c r="A4481" s="23">
        <v>114991</v>
      </c>
      <c r="B4481" s="1" t="s">
        <v>4541</v>
      </c>
    </row>
    <row r="4482" spans="1:2">
      <c r="A4482" s="23">
        <v>114992</v>
      </c>
      <c r="B4482" s="1" t="s">
        <v>4542</v>
      </c>
    </row>
    <row r="4483" spans="1:2">
      <c r="A4483" s="23">
        <v>114993</v>
      </c>
      <c r="B4483" s="1" t="s">
        <v>4543</v>
      </c>
    </row>
    <row r="4484" spans="1:2">
      <c r="A4484" s="23">
        <v>114994</v>
      </c>
      <c r="B4484" s="1" t="s">
        <v>4544</v>
      </c>
    </row>
    <row r="4485" spans="1:2">
      <c r="A4485" s="23">
        <v>114995</v>
      </c>
      <c r="B4485" s="1" t="s">
        <v>4545</v>
      </c>
    </row>
    <row r="4486" spans="1:2">
      <c r="A4486" s="23">
        <v>114996</v>
      </c>
      <c r="B4486" s="1" t="s">
        <v>4546</v>
      </c>
    </row>
    <row r="4487" spans="1:2">
      <c r="A4487" s="23">
        <v>114997</v>
      </c>
      <c r="B4487" s="1" t="s">
        <v>4547</v>
      </c>
    </row>
    <row r="4488" spans="1:2">
      <c r="A4488" s="23">
        <v>114998</v>
      </c>
      <c r="B4488" s="1" t="s">
        <v>4548</v>
      </c>
    </row>
    <row r="4489" spans="1:2">
      <c r="A4489" s="23">
        <v>114999</v>
      </c>
      <c r="B4489" s="1" t="s">
        <v>4549</v>
      </c>
    </row>
    <row r="4490" spans="1:2">
      <c r="A4490" s="23">
        <v>115000</v>
      </c>
      <c r="B4490" s="1" t="s">
        <v>4550</v>
      </c>
    </row>
    <row r="4491" spans="1:2">
      <c r="A4491" s="23">
        <v>115019</v>
      </c>
      <c r="B4491" s="1" t="s">
        <v>4551</v>
      </c>
    </row>
    <row r="4492" spans="1:2">
      <c r="A4492" s="23">
        <v>115125</v>
      </c>
      <c r="B4492" s="1" t="s">
        <v>4552</v>
      </c>
    </row>
    <row r="4493" spans="1:2">
      <c r="A4493" s="23">
        <v>115152</v>
      </c>
      <c r="B4493" s="1" t="s">
        <v>4553</v>
      </c>
    </row>
    <row r="4494" spans="1:2">
      <c r="A4494" s="23">
        <v>115153</v>
      </c>
      <c r="B4494" s="1" t="s">
        <v>4554</v>
      </c>
    </row>
    <row r="4495" spans="1:2">
      <c r="A4495" s="23">
        <v>115154</v>
      </c>
      <c r="B4495" s="1" t="s">
        <v>4555</v>
      </c>
    </row>
    <row r="4496" spans="1:2">
      <c r="A4496" s="23">
        <v>115155</v>
      </c>
      <c r="B4496" s="1" t="s">
        <v>4556</v>
      </c>
    </row>
    <row r="4497" spans="1:2">
      <c r="A4497" s="23">
        <v>115156</v>
      </c>
      <c r="B4497" s="1" t="s">
        <v>4557</v>
      </c>
    </row>
    <row r="4498" spans="1:2">
      <c r="A4498" s="23">
        <v>115157</v>
      </c>
      <c r="B4498" s="1" t="s">
        <v>4558</v>
      </c>
    </row>
    <row r="4499" spans="1:2">
      <c r="A4499" s="23">
        <v>115158</v>
      </c>
      <c r="B4499" s="1" t="s">
        <v>4559</v>
      </c>
    </row>
    <row r="4500" spans="1:2">
      <c r="A4500" s="23">
        <v>115159</v>
      </c>
      <c r="B4500" s="1" t="s">
        <v>4560</v>
      </c>
    </row>
    <row r="4501" spans="1:2">
      <c r="A4501" s="23">
        <v>115174</v>
      </c>
      <c r="B4501" s="1" t="s">
        <v>4561</v>
      </c>
    </row>
    <row r="4502" spans="1:2">
      <c r="A4502" s="23">
        <v>115180</v>
      </c>
      <c r="B4502" s="1" t="s">
        <v>4562</v>
      </c>
    </row>
    <row r="4503" spans="1:2">
      <c r="A4503" s="23">
        <v>115181</v>
      </c>
      <c r="B4503" s="1" t="s">
        <v>4563</v>
      </c>
    </row>
    <row r="4504" spans="1:2">
      <c r="A4504" s="23">
        <v>115246</v>
      </c>
      <c r="B4504" s="1" t="s">
        <v>4564</v>
      </c>
    </row>
    <row r="4505" spans="1:2">
      <c r="A4505" s="23">
        <v>115247</v>
      </c>
      <c r="B4505" s="1" t="s">
        <v>4565</v>
      </c>
    </row>
    <row r="4506" spans="1:2">
      <c r="A4506" s="23">
        <v>115248</v>
      </c>
      <c r="B4506" s="1" t="s">
        <v>4566</v>
      </c>
    </row>
    <row r="4507" spans="1:2">
      <c r="A4507" s="23">
        <v>115249</v>
      </c>
      <c r="B4507" s="1" t="s">
        <v>4567</v>
      </c>
    </row>
    <row r="4508" spans="1:2">
      <c r="A4508" s="23">
        <v>115250</v>
      </c>
      <c r="B4508" s="1" t="s">
        <v>4568</v>
      </c>
    </row>
    <row r="4509" spans="1:2">
      <c r="A4509" s="23">
        <v>115251</v>
      </c>
      <c r="B4509" s="1" t="s">
        <v>4569</v>
      </c>
    </row>
    <row r="4510" spans="1:2">
      <c r="A4510" s="23">
        <v>115259</v>
      </c>
      <c r="B4510" s="1" t="s">
        <v>4570</v>
      </c>
    </row>
    <row r="4511" spans="1:2">
      <c r="A4511" s="23">
        <v>115264</v>
      </c>
      <c r="B4511" s="1" t="s">
        <v>4571</v>
      </c>
    </row>
    <row r="4512" spans="1:2">
      <c r="A4512" s="23">
        <v>115265</v>
      </c>
      <c r="B4512" s="1" t="s">
        <v>4572</v>
      </c>
    </row>
    <row r="4513" spans="1:2">
      <c r="A4513" s="23">
        <v>115266</v>
      </c>
      <c r="B4513" s="1" t="s">
        <v>4573</v>
      </c>
    </row>
    <row r="4514" spans="1:2">
      <c r="A4514" s="23">
        <v>115267</v>
      </c>
      <c r="B4514" s="1" t="s">
        <v>4574</v>
      </c>
    </row>
    <row r="4515" spans="1:2">
      <c r="A4515" s="23">
        <v>115269</v>
      </c>
      <c r="B4515" s="1" t="s">
        <v>4575</v>
      </c>
    </row>
    <row r="4516" spans="1:2">
      <c r="A4516" s="23">
        <v>115271</v>
      </c>
      <c r="B4516" s="1" t="s">
        <v>4576</v>
      </c>
    </row>
    <row r="4517" spans="1:2">
      <c r="A4517" s="23">
        <v>115273</v>
      </c>
      <c r="B4517" s="1" t="s">
        <v>4577</v>
      </c>
    </row>
    <row r="4518" spans="1:2">
      <c r="A4518" s="23">
        <v>125306</v>
      </c>
      <c r="B4518" s="1" t="s">
        <v>4578</v>
      </c>
    </row>
    <row r="4519" spans="1:2">
      <c r="A4519" s="23">
        <v>125307</v>
      </c>
      <c r="B4519" s="1" t="s">
        <v>4579</v>
      </c>
    </row>
    <row r="4520" spans="1:2">
      <c r="A4520" s="23">
        <v>125308</v>
      </c>
      <c r="B4520" s="1" t="s">
        <v>4580</v>
      </c>
    </row>
    <row r="4521" spans="1:2">
      <c r="A4521" s="23">
        <v>125309</v>
      </c>
      <c r="B4521" s="1" t="s">
        <v>4581</v>
      </c>
    </row>
    <row r="4522" spans="1:2">
      <c r="A4522" s="23">
        <v>125310</v>
      </c>
      <c r="B4522" s="1" t="s">
        <v>4582</v>
      </c>
    </row>
    <row r="4523" spans="1:2">
      <c r="A4523" s="23">
        <v>125311</v>
      </c>
      <c r="B4523" s="1" t="s">
        <v>4583</v>
      </c>
    </row>
    <row r="4524" spans="1:2">
      <c r="A4524" s="23">
        <v>125312</v>
      </c>
      <c r="B4524" s="1" t="s">
        <v>4584</v>
      </c>
    </row>
    <row r="4525" spans="1:2">
      <c r="A4525" s="23">
        <v>125313</v>
      </c>
      <c r="B4525" s="1" t="s">
        <v>4585</v>
      </c>
    </row>
    <row r="4526" spans="1:2">
      <c r="A4526" s="23">
        <v>125314</v>
      </c>
      <c r="B4526" s="1" t="s">
        <v>4586</v>
      </c>
    </row>
    <row r="4527" spans="1:2">
      <c r="A4527" s="23">
        <v>125315</v>
      </c>
      <c r="B4527" s="1" t="s">
        <v>4587</v>
      </c>
    </row>
    <row r="4528" spans="1:2">
      <c r="A4528" s="23">
        <v>125316</v>
      </c>
      <c r="B4528" s="1" t="s">
        <v>4588</v>
      </c>
    </row>
    <row r="4529" spans="1:2">
      <c r="A4529" s="23">
        <v>125317</v>
      </c>
      <c r="B4529" s="1" t="s">
        <v>4589</v>
      </c>
    </row>
    <row r="4530" spans="1:2">
      <c r="A4530" s="23">
        <v>125318</v>
      </c>
      <c r="B4530" s="1" t="s">
        <v>4590</v>
      </c>
    </row>
    <row r="4531" spans="1:2">
      <c r="A4531" s="23">
        <v>125319</v>
      </c>
      <c r="B4531" s="1" t="s">
        <v>4591</v>
      </c>
    </row>
    <row r="4532" spans="1:2">
      <c r="A4532" s="23">
        <v>125320</v>
      </c>
      <c r="B4532" s="1" t="s">
        <v>4592</v>
      </c>
    </row>
    <row r="4533" spans="1:2">
      <c r="A4533" s="23">
        <v>125321</v>
      </c>
      <c r="B4533" s="1" t="s">
        <v>4593</v>
      </c>
    </row>
    <row r="4534" spans="1:2">
      <c r="A4534" s="23">
        <v>125322</v>
      </c>
      <c r="B4534" s="1" t="s">
        <v>4594</v>
      </c>
    </row>
    <row r="4535" spans="1:2">
      <c r="A4535" s="23">
        <v>125323</v>
      </c>
      <c r="B4535" s="1" t="s">
        <v>4595</v>
      </c>
    </row>
    <row r="4536" spans="1:2">
      <c r="A4536" s="23">
        <v>125324</v>
      </c>
      <c r="B4536" s="1" t="s">
        <v>4596</v>
      </c>
    </row>
    <row r="4537" spans="1:2">
      <c r="A4537" s="23">
        <v>125325</v>
      </c>
      <c r="B4537" s="1" t="s">
        <v>4597</v>
      </c>
    </row>
    <row r="4538" spans="1:2">
      <c r="A4538" s="23">
        <v>125326</v>
      </c>
      <c r="B4538" s="1" t="s">
        <v>4598</v>
      </c>
    </row>
    <row r="4539" spans="1:2">
      <c r="A4539" s="23">
        <v>125327</v>
      </c>
      <c r="B4539" s="1" t="s">
        <v>4599</v>
      </c>
    </row>
    <row r="4540" spans="1:2">
      <c r="A4540" s="23">
        <v>125328</v>
      </c>
      <c r="B4540" s="1" t="s">
        <v>4600</v>
      </c>
    </row>
    <row r="4541" spans="1:2">
      <c r="A4541" s="23">
        <v>125333</v>
      </c>
      <c r="B4541" s="1" t="s">
        <v>4601</v>
      </c>
    </row>
    <row r="4542" spans="1:2">
      <c r="A4542" s="23">
        <v>125350</v>
      </c>
      <c r="B4542" s="1" t="s">
        <v>4602</v>
      </c>
    </row>
    <row r="4543" spans="1:2">
      <c r="A4543" s="23">
        <v>125352</v>
      </c>
      <c r="B4543" s="1" t="s">
        <v>4603</v>
      </c>
    </row>
    <row r="4544" spans="1:2">
      <c r="A4544" s="23">
        <v>125353</v>
      </c>
      <c r="B4544" s="1" t="s">
        <v>4604</v>
      </c>
    </row>
    <row r="4545" spans="1:2">
      <c r="A4545" s="23">
        <v>125354</v>
      </c>
      <c r="B4545" s="1" t="s">
        <v>4605</v>
      </c>
    </row>
    <row r="4546" spans="1:2">
      <c r="A4546" s="23">
        <v>125355</v>
      </c>
      <c r="B4546" s="1" t="s">
        <v>4606</v>
      </c>
    </row>
    <row r="4547" spans="1:2">
      <c r="A4547" s="23">
        <v>125384</v>
      </c>
      <c r="B4547" s="1" t="s">
        <v>4607</v>
      </c>
    </row>
    <row r="4548" spans="1:2">
      <c r="A4548" s="23">
        <v>125385</v>
      </c>
      <c r="B4548" s="1" t="s">
        <v>4608</v>
      </c>
    </row>
    <row r="4549" spans="1:2">
      <c r="A4549" s="23">
        <v>125386</v>
      </c>
      <c r="B4549" s="1" t="s">
        <v>4609</v>
      </c>
    </row>
    <row r="4550" spans="1:2">
      <c r="A4550" s="23">
        <v>125387</v>
      </c>
      <c r="B4550" s="1" t="s">
        <v>4610</v>
      </c>
    </row>
    <row r="4551" spans="1:2">
      <c r="A4551" s="23">
        <v>125388</v>
      </c>
      <c r="B4551" s="1" t="s">
        <v>4611</v>
      </c>
    </row>
    <row r="4552" spans="1:2">
      <c r="A4552" s="23">
        <v>125389</v>
      </c>
      <c r="B4552" s="1" t="s">
        <v>4612</v>
      </c>
    </row>
    <row r="4553" spans="1:2">
      <c r="A4553" s="23">
        <v>125390</v>
      </c>
      <c r="B4553" s="1" t="s">
        <v>4613</v>
      </c>
    </row>
    <row r="4554" spans="1:2">
      <c r="A4554" s="23">
        <v>125391</v>
      </c>
      <c r="B4554" s="1" t="s">
        <v>4614</v>
      </c>
    </row>
    <row r="4555" spans="1:2">
      <c r="A4555" s="23">
        <v>125392</v>
      </c>
      <c r="B4555" s="1" t="s">
        <v>4615</v>
      </c>
    </row>
    <row r="4556" spans="1:2">
      <c r="A4556" s="23">
        <v>125393</v>
      </c>
      <c r="B4556" s="1" t="s">
        <v>4616</v>
      </c>
    </row>
    <row r="4557" spans="1:2">
      <c r="A4557" s="23">
        <v>125394</v>
      </c>
      <c r="B4557" s="1" t="s">
        <v>4617</v>
      </c>
    </row>
    <row r="4558" spans="1:2">
      <c r="A4558" s="23">
        <v>125395</v>
      </c>
      <c r="B4558" s="1" t="s">
        <v>4618</v>
      </c>
    </row>
    <row r="4559" spans="1:2">
      <c r="A4559" s="23">
        <v>125461</v>
      </c>
      <c r="B4559" s="1" t="s">
        <v>4619</v>
      </c>
    </row>
    <row r="4560" spans="1:2">
      <c r="A4560" s="23">
        <v>125479</v>
      </c>
      <c r="B4560" s="1" t="s">
        <v>4620</v>
      </c>
    </row>
    <row r="4561" spans="1:2">
      <c r="A4561" s="23">
        <v>125480</v>
      </c>
      <c r="B4561" s="1" t="s">
        <v>4621</v>
      </c>
    </row>
    <row r="4562" spans="1:2">
      <c r="A4562" s="23">
        <v>125481</v>
      </c>
      <c r="B4562" s="1" t="s">
        <v>4622</v>
      </c>
    </row>
    <row r="4563" spans="1:2">
      <c r="A4563" s="23">
        <v>125482</v>
      </c>
      <c r="B4563" s="1" t="s">
        <v>4623</v>
      </c>
    </row>
    <row r="4564" spans="1:2">
      <c r="A4564" s="23">
        <v>125483</v>
      </c>
      <c r="B4564" s="1" t="s">
        <v>4624</v>
      </c>
    </row>
    <row r="4565" spans="1:2">
      <c r="A4565" s="23">
        <v>125484</v>
      </c>
      <c r="B4565" s="1" t="s">
        <v>4625</v>
      </c>
    </row>
    <row r="4566" spans="1:2">
      <c r="A4566" s="23">
        <v>125562</v>
      </c>
      <c r="B4566" s="1" t="s">
        <v>4626</v>
      </c>
    </row>
    <row r="4567" spans="1:2">
      <c r="A4567" s="23">
        <v>125563</v>
      </c>
      <c r="B4567" s="1" t="s">
        <v>4627</v>
      </c>
    </row>
    <row r="4568" spans="1:2">
      <c r="A4568" s="23">
        <v>125564</v>
      </c>
      <c r="B4568" s="1" t="s">
        <v>4628</v>
      </c>
    </row>
    <row r="4569" spans="1:2">
      <c r="A4569" s="23">
        <v>125565</v>
      </c>
      <c r="B4569" s="1" t="s">
        <v>4629</v>
      </c>
    </row>
    <row r="4570" spans="1:2">
      <c r="A4570" s="23">
        <v>125620</v>
      </c>
      <c r="B4570" s="1" t="s">
        <v>4630</v>
      </c>
    </row>
    <row r="4571" spans="1:2">
      <c r="A4571" s="23">
        <v>125627</v>
      </c>
      <c r="B4571" s="1" t="s">
        <v>4631</v>
      </c>
    </row>
    <row r="4572" spans="1:2">
      <c r="A4572" s="23">
        <v>125628</v>
      </c>
      <c r="B4572" s="1" t="s">
        <v>4632</v>
      </c>
    </row>
    <row r="4573" spans="1:2">
      <c r="A4573" s="23">
        <v>125629</v>
      </c>
      <c r="B4573" s="1" t="s">
        <v>4633</v>
      </c>
    </row>
    <row r="4574" spans="1:2">
      <c r="A4574" s="23">
        <v>125630</v>
      </c>
      <c r="B4574" s="1" t="s">
        <v>4634</v>
      </c>
    </row>
    <row r="4575" spans="1:2">
      <c r="A4575" s="23">
        <v>125631</v>
      </c>
      <c r="B4575" s="1" t="s">
        <v>4635</v>
      </c>
    </row>
    <row r="4576" spans="1:2">
      <c r="A4576" s="23">
        <v>125632</v>
      </c>
      <c r="B4576" s="1" t="s">
        <v>4636</v>
      </c>
    </row>
    <row r="4577" spans="1:2">
      <c r="A4577" s="23">
        <v>125633</v>
      </c>
      <c r="B4577" s="1" t="s">
        <v>4637</v>
      </c>
    </row>
    <row r="4578" spans="1:2">
      <c r="A4578" s="23">
        <v>125634</v>
      </c>
      <c r="B4578" s="1" t="s">
        <v>4638</v>
      </c>
    </row>
    <row r="4579" spans="1:2">
      <c r="A4579" s="23">
        <v>125636</v>
      </c>
      <c r="B4579" s="1" t="s">
        <v>4639</v>
      </c>
    </row>
    <row r="4580" spans="1:2">
      <c r="A4580" s="23">
        <v>125637</v>
      </c>
      <c r="B4580" s="1" t="s">
        <v>4640</v>
      </c>
    </row>
    <row r="4581" spans="1:2">
      <c r="A4581" s="23">
        <v>125643</v>
      </c>
      <c r="B4581" s="1" t="s">
        <v>4641</v>
      </c>
    </row>
    <row r="4582" spans="1:2">
      <c r="A4582" s="23">
        <v>125649</v>
      </c>
      <c r="B4582" s="1" t="s">
        <v>4642</v>
      </c>
    </row>
    <row r="4583" spans="1:2">
      <c r="A4583" s="23">
        <v>125650</v>
      </c>
      <c r="B4583" s="1" t="s">
        <v>4643</v>
      </c>
    </row>
    <row r="4584" spans="1:2">
      <c r="A4584" s="23">
        <v>125651</v>
      </c>
      <c r="B4584" s="1" t="s">
        <v>4644</v>
      </c>
    </row>
    <row r="4585" spans="1:2">
      <c r="A4585" s="23">
        <v>125652</v>
      </c>
      <c r="B4585" s="1" t="s">
        <v>4645</v>
      </c>
    </row>
    <row r="4586" spans="1:2">
      <c r="A4586" s="23">
        <v>125653</v>
      </c>
      <c r="B4586" s="1" t="s">
        <v>4646</v>
      </c>
    </row>
    <row r="4587" spans="1:2">
      <c r="A4587" s="23">
        <v>125654</v>
      </c>
      <c r="B4587" s="1" t="s">
        <v>4647</v>
      </c>
    </row>
    <row r="4588" spans="1:2">
      <c r="A4588" s="23">
        <v>125655</v>
      </c>
      <c r="B4588" s="1" t="s">
        <v>4648</v>
      </c>
    </row>
    <row r="4589" spans="1:2">
      <c r="A4589" s="23">
        <v>125656</v>
      </c>
      <c r="B4589" s="1" t="s">
        <v>4649</v>
      </c>
    </row>
    <row r="4590" spans="1:2">
      <c r="A4590" s="23">
        <v>125657</v>
      </c>
      <c r="B4590" s="1" t="s">
        <v>4650</v>
      </c>
    </row>
    <row r="4591" spans="1:2">
      <c r="A4591" s="23">
        <v>125658</v>
      </c>
      <c r="B4591" s="1" t="s">
        <v>4651</v>
      </c>
    </row>
    <row r="4592" spans="1:2">
      <c r="A4592" s="23">
        <v>125659</v>
      </c>
      <c r="B4592" s="1" t="s">
        <v>4652</v>
      </c>
    </row>
    <row r="4593" spans="1:2">
      <c r="A4593" s="23">
        <v>125660</v>
      </c>
      <c r="B4593" s="1" t="s">
        <v>4653</v>
      </c>
    </row>
    <row r="4594" spans="1:2">
      <c r="A4594" s="23">
        <v>125661</v>
      </c>
      <c r="B4594" s="1" t="s">
        <v>4654</v>
      </c>
    </row>
    <row r="4595" spans="1:2">
      <c r="A4595" s="23">
        <v>125662</v>
      </c>
      <c r="B4595" s="1" t="s">
        <v>4655</v>
      </c>
    </row>
    <row r="4596" spans="1:2">
      <c r="A4596" s="23">
        <v>125663</v>
      </c>
      <c r="B4596" s="1" t="s">
        <v>4656</v>
      </c>
    </row>
    <row r="4597" spans="1:2">
      <c r="A4597" s="23">
        <v>125664</v>
      </c>
      <c r="B4597" s="1" t="s">
        <v>4657</v>
      </c>
    </row>
    <row r="4598" spans="1:2">
      <c r="A4598" s="23">
        <v>125665</v>
      </c>
      <c r="B4598" s="1" t="s">
        <v>4658</v>
      </c>
    </row>
    <row r="4599" spans="1:2">
      <c r="A4599" s="23">
        <v>125666</v>
      </c>
      <c r="B4599" s="1" t="s">
        <v>4659</v>
      </c>
    </row>
    <row r="4600" spans="1:2">
      <c r="A4600" s="23">
        <v>125667</v>
      </c>
      <c r="B4600" s="1" t="s">
        <v>4660</v>
      </c>
    </row>
    <row r="4601" spans="1:2">
      <c r="A4601" s="23">
        <v>125668</v>
      </c>
      <c r="B4601" s="1" t="s">
        <v>4661</v>
      </c>
    </row>
    <row r="4602" spans="1:2">
      <c r="A4602" s="23">
        <v>125669</v>
      </c>
      <c r="B4602" s="1" t="s">
        <v>4662</v>
      </c>
    </row>
    <row r="4603" spans="1:2">
      <c r="A4603" s="23">
        <v>125670</v>
      </c>
      <c r="B4603" s="1" t="s">
        <v>4663</v>
      </c>
    </row>
    <row r="4604" spans="1:2">
      <c r="A4604" s="23">
        <v>125671</v>
      </c>
      <c r="B4604" s="1" t="s">
        <v>4664</v>
      </c>
    </row>
    <row r="4605" spans="1:2">
      <c r="A4605" s="23">
        <v>125672</v>
      </c>
      <c r="B4605" s="1" t="s">
        <v>4665</v>
      </c>
    </row>
    <row r="4606" spans="1:2">
      <c r="A4606" s="23">
        <v>125673</v>
      </c>
      <c r="B4606" s="1" t="s">
        <v>4666</v>
      </c>
    </row>
    <row r="4607" spans="1:2">
      <c r="A4607" s="23">
        <v>125674</v>
      </c>
      <c r="B4607" s="1" t="s">
        <v>4667</v>
      </c>
    </row>
    <row r="4608" spans="1:2">
      <c r="A4608" s="23">
        <v>125675</v>
      </c>
      <c r="B4608" s="1" t="s">
        <v>4668</v>
      </c>
    </row>
    <row r="4609" spans="1:2">
      <c r="A4609" s="23">
        <v>125676</v>
      </c>
      <c r="B4609" s="1" t="s">
        <v>4669</v>
      </c>
    </row>
    <row r="4610" spans="1:2">
      <c r="A4610" s="23">
        <v>125677</v>
      </c>
      <c r="B4610" s="1" t="s">
        <v>4670</v>
      </c>
    </row>
    <row r="4611" spans="1:2">
      <c r="A4611" s="23">
        <v>125678</v>
      </c>
      <c r="B4611" s="1" t="s">
        <v>4671</v>
      </c>
    </row>
    <row r="4612" spans="1:2">
      <c r="A4612" s="23">
        <v>125679</v>
      </c>
      <c r="B4612" s="1" t="s">
        <v>4672</v>
      </c>
    </row>
    <row r="4613" spans="1:2">
      <c r="A4613" s="23">
        <v>125680</v>
      </c>
      <c r="B4613" s="1" t="s">
        <v>4673</v>
      </c>
    </row>
    <row r="4614" spans="1:2">
      <c r="A4614" s="23">
        <v>125682</v>
      </c>
      <c r="B4614" s="1" t="s">
        <v>4674</v>
      </c>
    </row>
    <row r="4615" spans="1:2">
      <c r="A4615" s="23">
        <v>125683</v>
      </c>
      <c r="B4615" s="1" t="s">
        <v>4675</v>
      </c>
    </row>
    <row r="4616" spans="1:2">
      <c r="A4616" s="23">
        <v>125696</v>
      </c>
      <c r="B4616" s="1" t="s">
        <v>4676</v>
      </c>
    </row>
    <row r="4617" spans="1:2">
      <c r="A4617" s="23">
        <v>125697</v>
      </c>
      <c r="B4617" s="1" t="s">
        <v>4677</v>
      </c>
    </row>
    <row r="4618" spans="1:2">
      <c r="A4618" s="23">
        <v>125702</v>
      </c>
      <c r="B4618" s="1" t="s">
        <v>4678</v>
      </c>
    </row>
    <row r="4619" spans="1:2">
      <c r="A4619" s="23">
        <v>125703</v>
      </c>
      <c r="B4619" s="1" t="s">
        <v>4679</v>
      </c>
    </row>
    <row r="4620" spans="1:2">
      <c r="A4620" s="23">
        <v>125704</v>
      </c>
      <c r="B4620" s="1" t="s">
        <v>4680</v>
      </c>
    </row>
    <row r="4621" spans="1:2">
      <c r="A4621" s="23">
        <v>125716</v>
      </c>
      <c r="B4621" s="1" t="s">
        <v>4681</v>
      </c>
    </row>
    <row r="4622" spans="1:2">
      <c r="A4622" s="23">
        <v>125717</v>
      </c>
      <c r="B4622" s="1" t="s">
        <v>4682</v>
      </c>
    </row>
    <row r="4623" spans="1:2">
      <c r="A4623" s="23">
        <v>125719</v>
      </c>
      <c r="B4623" s="1" t="s">
        <v>4683</v>
      </c>
    </row>
    <row r="4624" spans="1:2">
      <c r="A4624" s="23">
        <v>125720</v>
      </c>
      <c r="B4624" s="1" t="s">
        <v>4684</v>
      </c>
    </row>
    <row r="4625" spans="1:2">
      <c r="A4625" s="23">
        <v>125721</v>
      </c>
      <c r="B4625" s="1" t="s">
        <v>4685</v>
      </c>
    </row>
    <row r="4626" spans="1:2">
      <c r="A4626" s="23">
        <v>125724</v>
      </c>
      <c r="B4626" s="1" t="s">
        <v>4686</v>
      </c>
    </row>
    <row r="4627" spans="1:2">
      <c r="A4627" s="23">
        <v>125736</v>
      </c>
      <c r="B4627" s="1" t="s">
        <v>4687</v>
      </c>
    </row>
    <row r="4628" spans="1:2">
      <c r="A4628" s="23">
        <v>125737</v>
      </c>
      <c r="B4628" s="1" t="s">
        <v>4688</v>
      </c>
    </row>
    <row r="4629" spans="1:2">
      <c r="A4629" s="23">
        <v>125738</v>
      </c>
      <c r="B4629" s="1" t="s">
        <v>4689</v>
      </c>
    </row>
    <row r="4630" spans="1:2">
      <c r="A4630" s="23">
        <v>125739</v>
      </c>
      <c r="B4630" s="1" t="s">
        <v>4690</v>
      </c>
    </row>
    <row r="4631" spans="1:2">
      <c r="A4631" s="23">
        <v>125741</v>
      </c>
      <c r="B4631" s="1" t="s">
        <v>4691</v>
      </c>
    </row>
    <row r="4632" spans="1:2">
      <c r="A4632" s="23">
        <v>125742</v>
      </c>
      <c r="B4632" s="1" t="s">
        <v>4692</v>
      </c>
    </row>
    <row r="4633" spans="1:2">
      <c r="A4633" s="23">
        <v>125743</v>
      </c>
      <c r="B4633" s="1" t="s">
        <v>4693</v>
      </c>
    </row>
    <row r="4634" spans="1:2">
      <c r="A4634" s="23">
        <v>125744</v>
      </c>
      <c r="B4634" s="1" t="s">
        <v>4694</v>
      </c>
    </row>
    <row r="4635" spans="1:2">
      <c r="A4635" s="23">
        <v>125745</v>
      </c>
      <c r="B4635" s="1" t="s">
        <v>4695</v>
      </c>
    </row>
    <row r="4636" spans="1:2">
      <c r="A4636" s="23">
        <v>125746</v>
      </c>
      <c r="B4636" s="1" t="s">
        <v>4696</v>
      </c>
    </row>
    <row r="4637" spans="1:2">
      <c r="A4637" s="23">
        <v>125747</v>
      </c>
      <c r="B4637" s="1" t="s">
        <v>4697</v>
      </c>
    </row>
    <row r="4638" spans="1:2">
      <c r="A4638" s="23">
        <v>125748</v>
      </c>
      <c r="B4638" s="1" t="s">
        <v>4698</v>
      </c>
    </row>
    <row r="4639" spans="1:2">
      <c r="A4639" s="23">
        <v>125749</v>
      </c>
      <c r="B4639" s="1" t="s">
        <v>4699</v>
      </c>
    </row>
    <row r="4640" spans="1:2">
      <c r="A4640" s="23">
        <v>125750</v>
      </c>
      <c r="B4640" s="1" t="s">
        <v>4700</v>
      </c>
    </row>
    <row r="4641" spans="1:2">
      <c r="A4641" s="23">
        <v>125751</v>
      </c>
      <c r="B4641" s="1" t="s">
        <v>4701</v>
      </c>
    </row>
    <row r="4642" spans="1:2">
      <c r="A4642" s="23">
        <v>125752</v>
      </c>
      <c r="B4642" s="1" t="s">
        <v>4702</v>
      </c>
    </row>
    <row r="4643" spans="1:2">
      <c r="A4643" s="23">
        <v>125753</v>
      </c>
      <c r="B4643" s="1" t="s">
        <v>4703</v>
      </c>
    </row>
    <row r="4644" spans="1:2">
      <c r="A4644" s="23">
        <v>125754</v>
      </c>
      <c r="B4644" s="1" t="s">
        <v>4704</v>
      </c>
    </row>
    <row r="4645" spans="1:2">
      <c r="A4645" s="23">
        <v>125755</v>
      </c>
      <c r="B4645" s="1" t="s">
        <v>4705</v>
      </c>
    </row>
    <row r="4646" spans="1:2">
      <c r="A4646" s="23">
        <v>125756</v>
      </c>
      <c r="B4646" s="1" t="s">
        <v>4706</v>
      </c>
    </row>
    <row r="4647" spans="1:2">
      <c r="A4647" s="23">
        <v>125757</v>
      </c>
      <c r="B4647" s="1" t="s">
        <v>4707</v>
      </c>
    </row>
    <row r="4648" spans="1:2">
      <c r="A4648" s="23">
        <v>125758</v>
      </c>
      <c r="B4648" s="1" t="s">
        <v>4708</v>
      </c>
    </row>
    <row r="4649" spans="1:2">
      <c r="A4649" s="23">
        <v>125759</v>
      </c>
      <c r="B4649" s="1" t="s">
        <v>4709</v>
      </c>
    </row>
    <row r="4650" spans="1:2">
      <c r="A4650" s="23">
        <v>125764</v>
      </c>
      <c r="B4650" s="1" t="s">
        <v>4710</v>
      </c>
    </row>
    <row r="4651" spans="1:2">
      <c r="A4651" s="23">
        <v>125766</v>
      </c>
      <c r="B4651" s="1" t="s">
        <v>4711</v>
      </c>
    </row>
    <row r="4652" spans="1:2">
      <c r="A4652" s="23">
        <v>125767</v>
      </c>
      <c r="B4652" s="1" t="s">
        <v>4712</v>
      </c>
    </row>
    <row r="4653" spans="1:2">
      <c r="A4653" s="23">
        <v>125768</v>
      </c>
      <c r="B4653" s="1" t="s">
        <v>4713</v>
      </c>
    </row>
    <row r="4654" spans="1:2">
      <c r="A4654" s="23">
        <v>125769</v>
      </c>
      <c r="B4654" s="1" t="s">
        <v>4714</v>
      </c>
    </row>
    <row r="4655" spans="1:2">
      <c r="A4655" s="23">
        <v>125770</v>
      </c>
      <c r="B4655" s="1" t="s">
        <v>4715</v>
      </c>
    </row>
    <row r="4656" spans="1:2">
      <c r="A4656" s="23">
        <v>125771</v>
      </c>
      <c r="B4656" s="1" t="s">
        <v>4716</v>
      </c>
    </row>
    <row r="4657" spans="1:2">
      <c r="A4657" s="23">
        <v>125772</v>
      </c>
      <c r="B4657" s="1" t="s">
        <v>4717</v>
      </c>
    </row>
    <row r="4658" spans="1:2">
      <c r="A4658" s="23">
        <v>125773</v>
      </c>
      <c r="B4658" s="1" t="s">
        <v>4718</v>
      </c>
    </row>
    <row r="4659" spans="1:2">
      <c r="A4659" s="23">
        <v>125774</v>
      </c>
      <c r="B4659" s="1" t="s">
        <v>4719</v>
      </c>
    </row>
    <row r="4660" spans="1:2">
      <c r="A4660" s="23">
        <v>125775</v>
      </c>
      <c r="B4660" s="1" t="s">
        <v>4720</v>
      </c>
    </row>
    <row r="4661" spans="1:2">
      <c r="A4661" s="23">
        <v>125776</v>
      </c>
      <c r="B4661" s="1" t="s">
        <v>4721</v>
      </c>
    </row>
    <row r="4662" spans="1:2">
      <c r="A4662" s="23">
        <v>125777</v>
      </c>
      <c r="B4662" s="1" t="s">
        <v>4722</v>
      </c>
    </row>
    <row r="4663" spans="1:2">
      <c r="A4663" s="23">
        <v>125778</v>
      </c>
      <c r="B4663" s="1" t="s">
        <v>4723</v>
      </c>
    </row>
    <row r="4664" spans="1:2">
      <c r="A4664" s="23">
        <v>125779</v>
      </c>
      <c r="B4664" s="1" t="s">
        <v>4724</v>
      </c>
    </row>
    <row r="4665" spans="1:2">
      <c r="A4665" s="23">
        <v>125780</v>
      </c>
      <c r="B4665" s="1" t="s">
        <v>4725</v>
      </c>
    </row>
    <row r="4666" spans="1:2">
      <c r="A4666" s="23">
        <v>125781</v>
      </c>
      <c r="B4666" s="1" t="s">
        <v>4726</v>
      </c>
    </row>
    <row r="4667" spans="1:2">
      <c r="A4667" s="23">
        <v>125790</v>
      </c>
      <c r="B4667" s="1" t="s">
        <v>4727</v>
      </c>
    </row>
    <row r="4668" spans="1:2">
      <c r="A4668" s="23">
        <v>125832</v>
      </c>
      <c r="B4668" s="1" t="s">
        <v>4728</v>
      </c>
    </row>
    <row r="4669" spans="1:2">
      <c r="A4669" s="23">
        <v>125833</v>
      </c>
      <c r="B4669" s="1" t="s">
        <v>4729</v>
      </c>
    </row>
    <row r="4670" spans="1:2">
      <c r="A4670" s="23">
        <v>125848</v>
      </c>
      <c r="B4670" s="1" t="s">
        <v>4730</v>
      </c>
    </row>
    <row r="4671" spans="1:2">
      <c r="A4671" s="23">
        <v>125849</v>
      </c>
      <c r="B4671" s="1" t="s">
        <v>4731</v>
      </c>
    </row>
    <row r="4672" spans="1:2">
      <c r="A4672" s="23">
        <v>125850</v>
      </c>
      <c r="B4672" s="1" t="s">
        <v>4732</v>
      </c>
    </row>
    <row r="4673" spans="1:2">
      <c r="A4673" s="23">
        <v>125851</v>
      </c>
      <c r="B4673" s="1" t="s">
        <v>4733</v>
      </c>
    </row>
    <row r="4674" spans="1:2">
      <c r="A4674" s="23">
        <v>125852</v>
      </c>
      <c r="B4674" s="1" t="s">
        <v>4734</v>
      </c>
    </row>
    <row r="4675" spans="1:2">
      <c r="A4675" s="23">
        <v>125853</v>
      </c>
      <c r="B4675" s="1" t="s">
        <v>4735</v>
      </c>
    </row>
    <row r="4676" spans="1:2">
      <c r="A4676" s="23">
        <v>125872</v>
      </c>
      <c r="B4676" s="1" t="s">
        <v>4736</v>
      </c>
    </row>
    <row r="4677" spans="1:2">
      <c r="A4677" s="23">
        <v>125873</v>
      </c>
      <c r="B4677" s="1" t="s">
        <v>4737</v>
      </c>
    </row>
    <row r="4678" spans="1:2">
      <c r="A4678" s="23">
        <v>125874</v>
      </c>
      <c r="B4678" s="1" t="s">
        <v>4738</v>
      </c>
    </row>
    <row r="4679" spans="1:2">
      <c r="A4679" s="23">
        <v>125875</v>
      </c>
      <c r="B4679" s="1" t="s">
        <v>4739</v>
      </c>
    </row>
    <row r="4680" spans="1:2">
      <c r="A4680" s="23">
        <v>125878</v>
      </c>
      <c r="B4680" s="1" t="s">
        <v>4740</v>
      </c>
    </row>
    <row r="4681" spans="1:2">
      <c r="A4681" s="23">
        <v>125879</v>
      </c>
      <c r="B4681" s="1" t="s">
        <v>5158</v>
      </c>
    </row>
    <row r="4682" spans="1:2">
      <c r="A4682" s="23">
        <v>125901</v>
      </c>
      <c r="B4682" s="1" t="s">
        <v>4741</v>
      </c>
    </row>
    <row r="4683" spans="1:2">
      <c r="A4683" s="23">
        <v>125903</v>
      </c>
      <c r="B4683" s="1" t="s">
        <v>4742</v>
      </c>
    </row>
    <row r="4684" spans="1:2">
      <c r="A4684" s="23">
        <v>125909</v>
      </c>
      <c r="B4684" s="1" t="s">
        <v>4743</v>
      </c>
    </row>
    <row r="4685" spans="1:2">
      <c r="A4685" s="23">
        <v>125923</v>
      </c>
      <c r="B4685" s="1" t="s">
        <v>4744</v>
      </c>
    </row>
    <row r="4686" spans="1:2">
      <c r="A4686" s="23">
        <v>125954</v>
      </c>
      <c r="B4686" s="1" t="s">
        <v>4745</v>
      </c>
    </row>
    <row r="4687" spans="1:2">
      <c r="A4687" s="23">
        <v>125959</v>
      </c>
      <c r="B4687" s="1" t="s">
        <v>4746</v>
      </c>
    </row>
    <row r="4688" spans="1:2">
      <c r="A4688" s="23">
        <v>125961</v>
      </c>
      <c r="B4688" s="1" t="s">
        <v>4747</v>
      </c>
    </row>
    <row r="4689" spans="1:2">
      <c r="A4689" s="23">
        <v>125962</v>
      </c>
      <c r="B4689" s="1" t="s">
        <v>4748</v>
      </c>
    </row>
    <row r="4690" spans="1:2">
      <c r="A4690" s="23">
        <v>125963</v>
      </c>
      <c r="B4690" s="1" t="s">
        <v>4749</v>
      </c>
    </row>
    <row r="4691" spans="1:2">
      <c r="A4691" s="23">
        <v>125967</v>
      </c>
      <c r="B4691" s="1" t="s">
        <v>4750</v>
      </c>
    </row>
    <row r="4692" spans="1:2">
      <c r="A4692" s="23">
        <v>125968</v>
      </c>
      <c r="B4692" s="1" t="s">
        <v>4751</v>
      </c>
    </row>
    <row r="4693" spans="1:2">
      <c r="A4693" s="23">
        <v>125969</v>
      </c>
      <c r="B4693" s="1" t="s">
        <v>4752</v>
      </c>
    </row>
    <row r="4694" spans="1:2">
      <c r="A4694" s="23">
        <v>125970</v>
      </c>
      <c r="B4694" s="1" t="s">
        <v>4753</v>
      </c>
    </row>
    <row r="4695" spans="1:2">
      <c r="A4695" s="23">
        <v>125971</v>
      </c>
      <c r="B4695" s="1" t="s">
        <v>4754</v>
      </c>
    </row>
    <row r="4696" spans="1:2">
      <c r="A4696" s="23">
        <v>125972</v>
      </c>
      <c r="B4696" s="1" t="s">
        <v>4755</v>
      </c>
    </row>
    <row r="4697" spans="1:2">
      <c r="A4697" s="23">
        <v>125973</v>
      </c>
      <c r="B4697" s="1" t="s">
        <v>4756</v>
      </c>
    </row>
    <row r="4698" spans="1:2">
      <c r="A4698" s="23">
        <v>125974</v>
      </c>
      <c r="B4698" s="1" t="s">
        <v>4757</v>
      </c>
    </row>
    <row r="4699" spans="1:2">
      <c r="A4699" s="23">
        <v>125975</v>
      </c>
      <c r="B4699" s="1" t="s">
        <v>4758</v>
      </c>
    </row>
    <row r="4700" spans="1:2">
      <c r="A4700" s="23">
        <v>125976</v>
      </c>
      <c r="B4700" s="1" t="s">
        <v>4759</v>
      </c>
    </row>
    <row r="4701" spans="1:2">
      <c r="A4701" s="23">
        <v>125977</v>
      </c>
      <c r="B4701" s="1" t="s">
        <v>4760</v>
      </c>
    </row>
    <row r="4702" spans="1:2">
      <c r="A4702" s="23">
        <v>125981</v>
      </c>
      <c r="B4702" s="1" t="s">
        <v>4761</v>
      </c>
    </row>
    <row r="4703" spans="1:2">
      <c r="A4703" s="23">
        <v>125982</v>
      </c>
      <c r="B4703" s="1" t="s">
        <v>4762</v>
      </c>
    </row>
    <row r="4704" spans="1:2">
      <c r="A4704" s="23">
        <v>125983</v>
      </c>
      <c r="B4704" s="1" t="s">
        <v>4763</v>
      </c>
    </row>
    <row r="4705" spans="1:2">
      <c r="A4705" s="23">
        <v>126005</v>
      </c>
      <c r="B4705" s="1" t="s">
        <v>4764</v>
      </c>
    </row>
    <row r="4706" spans="1:2">
      <c r="A4706" s="23">
        <v>126006</v>
      </c>
      <c r="B4706" s="1" t="s">
        <v>4765</v>
      </c>
    </row>
    <row r="4707" spans="1:2">
      <c r="A4707" s="23">
        <v>126007</v>
      </c>
      <c r="B4707" s="1" t="s">
        <v>4766</v>
      </c>
    </row>
    <row r="4708" spans="1:2">
      <c r="A4708" s="23">
        <v>126008</v>
      </c>
      <c r="B4708" s="1" t="s">
        <v>4767</v>
      </c>
    </row>
    <row r="4709" spans="1:2">
      <c r="A4709" s="23">
        <v>126009</v>
      </c>
      <c r="B4709" s="1" t="s">
        <v>4768</v>
      </c>
    </row>
    <row r="4710" spans="1:2">
      <c r="A4710" s="23">
        <v>126010</v>
      </c>
      <c r="B4710" s="1" t="s">
        <v>4769</v>
      </c>
    </row>
    <row r="4711" spans="1:2">
      <c r="A4711" s="23">
        <v>126011</v>
      </c>
      <c r="B4711" s="1" t="s">
        <v>4770</v>
      </c>
    </row>
    <row r="4712" spans="1:2">
      <c r="A4712" s="23">
        <v>126012</v>
      </c>
      <c r="B4712" s="1" t="s">
        <v>4771</v>
      </c>
    </row>
    <row r="4713" spans="1:2">
      <c r="A4713" s="23">
        <v>126013</v>
      </c>
      <c r="B4713" s="1" t="s">
        <v>4772</v>
      </c>
    </row>
    <row r="4714" spans="1:2">
      <c r="A4714" s="23">
        <v>126014</v>
      </c>
      <c r="B4714" s="1" t="s">
        <v>4773</v>
      </c>
    </row>
    <row r="4715" spans="1:2">
      <c r="A4715" s="23">
        <v>126015</v>
      </c>
      <c r="B4715" s="1" t="s">
        <v>4774</v>
      </c>
    </row>
    <row r="4716" spans="1:2">
      <c r="A4716" s="23">
        <v>126016</v>
      </c>
      <c r="B4716" s="1" t="s">
        <v>4775</v>
      </c>
    </row>
    <row r="4717" spans="1:2">
      <c r="A4717" s="23">
        <v>126017</v>
      </c>
      <c r="B4717" s="1" t="s">
        <v>4776</v>
      </c>
    </row>
    <row r="4718" spans="1:2">
      <c r="A4718" s="23">
        <v>126018</v>
      </c>
      <c r="B4718" s="1" t="s">
        <v>4777</v>
      </c>
    </row>
    <row r="4719" spans="1:2">
      <c r="A4719" s="23">
        <v>126019</v>
      </c>
      <c r="B4719" s="1" t="s">
        <v>4778</v>
      </c>
    </row>
    <row r="4720" spans="1:2">
      <c r="A4720" s="23">
        <v>126020</v>
      </c>
      <c r="B4720" s="1" t="s">
        <v>4779</v>
      </c>
    </row>
    <row r="4721" spans="1:2">
      <c r="A4721" s="23">
        <v>126021</v>
      </c>
      <c r="B4721" s="1" t="s">
        <v>4780</v>
      </c>
    </row>
    <row r="4722" spans="1:2">
      <c r="A4722" s="23">
        <v>126022</v>
      </c>
      <c r="B4722" s="1" t="s">
        <v>4781</v>
      </c>
    </row>
    <row r="4723" spans="1:2">
      <c r="A4723" s="23">
        <v>126023</v>
      </c>
      <c r="B4723" s="1" t="s">
        <v>4782</v>
      </c>
    </row>
    <row r="4724" spans="1:2">
      <c r="A4724" s="23">
        <v>126024</v>
      </c>
      <c r="B4724" s="1" t="s">
        <v>4783</v>
      </c>
    </row>
    <row r="4725" spans="1:2">
      <c r="A4725" s="23">
        <v>126025</v>
      </c>
      <c r="B4725" s="1" t="s">
        <v>4784</v>
      </c>
    </row>
    <row r="4726" spans="1:2">
      <c r="A4726" s="23">
        <v>126026</v>
      </c>
      <c r="B4726" s="1" t="s">
        <v>4785</v>
      </c>
    </row>
    <row r="4727" spans="1:2">
      <c r="A4727" s="23">
        <v>126027</v>
      </c>
      <c r="B4727" s="1" t="s">
        <v>4786</v>
      </c>
    </row>
    <row r="4728" spans="1:2">
      <c r="A4728" s="23">
        <v>126028</v>
      </c>
      <c r="B4728" s="1" t="s">
        <v>4787</v>
      </c>
    </row>
    <row r="4729" spans="1:2">
      <c r="A4729" s="23">
        <v>126029</v>
      </c>
      <c r="B4729" s="1" t="s">
        <v>4788</v>
      </c>
    </row>
    <row r="4730" spans="1:2">
      <c r="A4730" s="23">
        <v>126030</v>
      </c>
      <c r="B4730" s="1" t="s">
        <v>4789</v>
      </c>
    </row>
    <row r="4731" spans="1:2">
      <c r="A4731" s="23">
        <v>126031</v>
      </c>
      <c r="B4731" s="1" t="s">
        <v>4790</v>
      </c>
    </row>
    <row r="4732" spans="1:2">
      <c r="A4732" s="23">
        <v>126032</v>
      </c>
      <c r="B4732" s="1" t="s">
        <v>4791</v>
      </c>
    </row>
    <row r="4733" spans="1:2">
      <c r="A4733" s="23">
        <v>126033</v>
      </c>
      <c r="B4733" s="1" t="s">
        <v>4792</v>
      </c>
    </row>
    <row r="4734" spans="1:2">
      <c r="A4734" s="23">
        <v>126034</v>
      </c>
      <c r="B4734" s="1" t="s">
        <v>4793</v>
      </c>
    </row>
    <row r="4735" spans="1:2">
      <c r="A4735" s="23">
        <v>126035</v>
      </c>
      <c r="B4735" s="1" t="s">
        <v>4794</v>
      </c>
    </row>
    <row r="4736" spans="1:2">
      <c r="A4736" s="23">
        <v>126036</v>
      </c>
      <c r="B4736" s="1" t="s">
        <v>4795</v>
      </c>
    </row>
    <row r="4737" spans="1:2">
      <c r="A4737" s="23">
        <v>126037</v>
      </c>
      <c r="B4737" s="1" t="s">
        <v>4796</v>
      </c>
    </row>
    <row r="4738" spans="1:2">
      <c r="A4738" s="23">
        <v>126038</v>
      </c>
      <c r="B4738" s="1" t="s">
        <v>4797</v>
      </c>
    </row>
    <row r="4739" spans="1:2">
      <c r="A4739" s="23">
        <v>126039</v>
      </c>
      <c r="B4739" s="1" t="s">
        <v>4798</v>
      </c>
    </row>
    <row r="4740" spans="1:2">
      <c r="A4740" s="23">
        <v>126040</v>
      </c>
      <c r="B4740" s="1" t="s">
        <v>4799</v>
      </c>
    </row>
    <row r="4741" spans="1:2">
      <c r="A4741" s="23">
        <v>126041</v>
      </c>
      <c r="B4741" s="1" t="s">
        <v>4800</v>
      </c>
    </row>
    <row r="4742" spans="1:2">
      <c r="A4742" s="23">
        <v>126042</v>
      </c>
      <c r="B4742" s="1" t="s">
        <v>4801</v>
      </c>
    </row>
    <row r="4743" spans="1:2">
      <c r="A4743" s="23">
        <v>126043</v>
      </c>
      <c r="B4743" s="1" t="s">
        <v>4802</v>
      </c>
    </row>
    <row r="4744" spans="1:2">
      <c r="A4744" s="23">
        <v>126044</v>
      </c>
      <c r="B4744" s="1" t="s">
        <v>4803</v>
      </c>
    </row>
    <row r="4745" spans="1:2">
      <c r="A4745" s="23">
        <v>126045</v>
      </c>
      <c r="B4745" s="1" t="s">
        <v>4804</v>
      </c>
    </row>
    <row r="4746" spans="1:2">
      <c r="A4746" s="23">
        <v>126046</v>
      </c>
      <c r="B4746" s="1" t="s">
        <v>4805</v>
      </c>
    </row>
    <row r="4747" spans="1:2">
      <c r="A4747" s="23">
        <v>126047</v>
      </c>
      <c r="B4747" s="1" t="s">
        <v>4806</v>
      </c>
    </row>
    <row r="4748" spans="1:2">
      <c r="A4748" s="23">
        <v>126048</v>
      </c>
      <c r="B4748" s="1" t="s">
        <v>4807</v>
      </c>
    </row>
    <row r="4749" spans="1:2">
      <c r="A4749" s="23">
        <v>126049</v>
      </c>
      <c r="B4749" s="1" t="s">
        <v>4808</v>
      </c>
    </row>
    <row r="4750" spans="1:2">
      <c r="A4750" s="23">
        <v>126050</v>
      </c>
      <c r="B4750" s="1" t="s">
        <v>4809</v>
      </c>
    </row>
    <row r="4751" spans="1:2">
      <c r="A4751" s="23">
        <v>126051</v>
      </c>
      <c r="B4751" s="1" t="s">
        <v>4810</v>
      </c>
    </row>
    <row r="4752" spans="1:2">
      <c r="A4752" s="23">
        <v>126052</v>
      </c>
      <c r="B4752" s="1" t="s">
        <v>4811</v>
      </c>
    </row>
    <row r="4753" spans="1:2">
      <c r="A4753" s="23">
        <v>126053</v>
      </c>
      <c r="B4753" s="1" t="s">
        <v>4812</v>
      </c>
    </row>
    <row r="4754" spans="1:2">
      <c r="A4754" s="23">
        <v>126054</v>
      </c>
      <c r="B4754" s="1" t="s">
        <v>4813</v>
      </c>
    </row>
    <row r="4755" spans="1:2">
      <c r="A4755" s="23">
        <v>126055</v>
      </c>
      <c r="B4755" s="1" t="s">
        <v>4814</v>
      </c>
    </row>
    <row r="4756" spans="1:2">
      <c r="A4756" s="23">
        <v>126056</v>
      </c>
      <c r="B4756" s="1" t="s">
        <v>4815</v>
      </c>
    </row>
    <row r="4757" spans="1:2">
      <c r="A4757" s="23">
        <v>126057</v>
      </c>
      <c r="B4757" s="1" t="s">
        <v>4816</v>
      </c>
    </row>
    <row r="4758" spans="1:2">
      <c r="A4758" s="23">
        <v>126058</v>
      </c>
      <c r="B4758" s="1" t="s">
        <v>4817</v>
      </c>
    </row>
    <row r="4759" spans="1:2">
      <c r="A4759" s="23">
        <v>126059</v>
      </c>
      <c r="B4759" s="1" t="s">
        <v>4818</v>
      </c>
    </row>
    <row r="4760" spans="1:2">
      <c r="A4760" s="23">
        <v>126060</v>
      </c>
      <c r="B4760" s="1" t="s">
        <v>4819</v>
      </c>
    </row>
    <row r="4761" spans="1:2">
      <c r="A4761" s="23">
        <v>126061</v>
      </c>
      <c r="B4761" s="1" t="s">
        <v>4820</v>
      </c>
    </row>
    <row r="4762" spans="1:2">
      <c r="A4762" s="23">
        <v>126062</v>
      </c>
      <c r="B4762" s="1" t="s">
        <v>4821</v>
      </c>
    </row>
    <row r="4763" spans="1:2">
      <c r="A4763" s="23">
        <v>126063</v>
      </c>
      <c r="B4763" s="1" t="s">
        <v>4822</v>
      </c>
    </row>
    <row r="4764" spans="1:2">
      <c r="A4764" s="23">
        <v>126064</v>
      </c>
      <c r="B4764" s="1" t="s">
        <v>4823</v>
      </c>
    </row>
    <row r="4765" spans="1:2">
      <c r="A4765" s="23">
        <v>126065</v>
      </c>
      <c r="B4765" s="1" t="s">
        <v>4824</v>
      </c>
    </row>
    <row r="4766" spans="1:2">
      <c r="A4766" s="23">
        <v>126066</v>
      </c>
      <c r="B4766" s="1" t="s">
        <v>4825</v>
      </c>
    </row>
    <row r="4767" spans="1:2">
      <c r="A4767" s="23">
        <v>126067</v>
      </c>
      <c r="B4767" s="1" t="s">
        <v>4826</v>
      </c>
    </row>
    <row r="4768" spans="1:2">
      <c r="A4768" s="23">
        <v>126068</v>
      </c>
      <c r="B4768" s="1" t="s">
        <v>4827</v>
      </c>
    </row>
    <row r="4769" spans="1:2">
      <c r="A4769" s="23">
        <v>126069</v>
      </c>
      <c r="B4769" s="1" t="s">
        <v>4828</v>
      </c>
    </row>
    <row r="4770" spans="1:2">
      <c r="A4770" s="23">
        <v>126070</v>
      </c>
      <c r="B4770" s="1" t="s">
        <v>4829</v>
      </c>
    </row>
    <row r="4771" spans="1:2">
      <c r="A4771" s="23">
        <v>126071</v>
      </c>
      <c r="B4771" s="1" t="s">
        <v>4830</v>
      </c>
    </row>
    <row r="4772" spans="1:2">
      <c r="A4772" s="23">
        <v>126072</v>
      </c>
      <c r="B4772" s="1" t="s">
        <v>4831</v>
      </c>
    </row>
    <row r="4773" spans="1:2">
      <c r="A4773" s="23">
        <v>126073</v>
      </c>
      <c r="B4773" s="1" t="s">
        <v>4832</v>
      </c>
    </row>
    <row r="4774" spans="1:2">
      <c r="A4774" s="23">
        <v>126074</v>
      </c>
      <c r="B4774" s="1" t="s">
        <v>4833</v>
      </c>
    </row>
    <row r="4775" spans="1:2">
      <c r="A4775" s="23">
        <v>126075</v>
      </c>
      <c r="B4775" s="1" t="s">
        <v>4834</v>
      </c>
    </row>
    <row r="4776" spans="1:2">
      <c r="A4776" s="23">
        <v>126076</v>
      </c>
      <c r="B4776" s="1" t="s">
        <v>4835</v>
      </c>
    </row>
    <row r="4777" spans="1:2">
      <c r="A4777" s="23">
        <v>126077</v>
      </c>
      <c r="B4777" s="1" t="s">
        <v>4836</v>
      </c>
    </row>
    <row r="4778" spans="1:2">
      <c r="A4778" s="23">
        <v>126078</v>
      </c>
      <c r="B4778" s="1" t="s">
        <v>4837</v>
      </c>
    </row>
    <row r="4779" spans="1:2">
      <c r="A4779" s="23">
        <v>126079</v>
      </c>
      <c r="B4779" s="1" t="s">
        <v>4838</v>
      </c>
    </row>
    <row r="4780" spans="1:2">
      <c r="A4780" s="23">
        <v>126080</v>
      </c>
      <c r="B4780" s="1" t="s">
        <v>4839</v>
      </c>
    </row>
    <row r="4781" spans="1:2">
      <c r="A4781" s="23">
        <v>126081</v>
      </c>
      <c r="B4781" s="1" t="s">
        <v>4840</v>
      </c>
    </row>
    <row r="4782" spans="1:2">
      <c r="A4782" s="23">
        <v>126089</v>
      </c>
      <c r="B4782" s="1" t="s">
        <v>4841</v>
      </c>
    </row>
    <row r="4783" spans="1:2">
      <c r="A4783" s="23">
        <v>126090</v>
      </c>
      <c r="B4783" s="1" t="s">
        <v>4842</v>
      </c>
    </row>
    <row r="4784" spans="1:2">
      <c r="A4784" s="23">
        <v>126091</v>
      </c>
      <c r="B4784" s="1" t="s">
        <v>4843</v>
      </c>
    </row>
    <row r="4785" spans="1:2">
      <c r="A4785" s="23">
        <v>126092</v>
      </c>
      <c r="B4785" s="1" t="s">
        <v>4844</v>
      </c>
    </row>
    <row r="4786" spans="1:2">
      <c r="A4786" s="23">
        <v>126093</v>
      </c>
      <c r="B4786" s="1" t="s">
        <v>4845</v>
      </c>
    </row>
    <row r="4787" spans="1:2">
      <c r="A4787" s="23">
        <v>126094</v>
      </c>
      <c r="B4787" s="1" t="s">
        <v>4846</v>
      </c>
    </row>
    <row r="4788" spans="1:2">
      <c r="A4788" s="23">
        <v>126095</v>
      </c>
      <c r="B4788" s="1" t="s">
        <v>4847</v>
      </c>
    </row>
    <row r="4789" spans="1:2">
      <c r="A4789" s="23">
        <v>126096</v>
      </c>
      <c r="B4789" s="1" t="s">
        <v>4848</v>
      </c>
    </row>
    <row r="4790" spans="1:2">
      <c r="A4790" s="23">
        <v>126097</v>
      </c>
      <c r="B4790" s="1" t="s">
        <v>4849</v>
      </c>
    </row>
    <row r="4791" spans="1:2">
      <c r="A4791" s="23">
        <v>126098</v>
      </c>
      <c r="B4791" s="1" t="s">
        <v>4850</v>
      </c>
    </row>
    <row r="4792" spans="1:2">
      <c r="A4792" s="23">
        <v>126099</v>
      </c>
      <c r="B4792" s="1" t="s">
        <v>4851</v>
      </c>
    </row>
    <row r="4793" spans="1:2">
      <c r="A4793" s="23">
        <v>126100</v>
      </c>
      <c r="B4793" s="1" t="s">
        <v>4852</v>
      </c>
    </row>
    <row r="4794" spans="1:2">
      <c r="A4794" s="23">
        <v>126101</v>
      </c>
      <c r="B4794" s="1" t="s">
        <v>4853</v>
      </c>
    </row>
    <row r="4795" spans="1:2">
      <c r="A4795" s="23">
        <v>126102</v>
      </c>
      <c r="B4795" s="1" t="s">
        <v>4854</v>
      </c>
    </row>
    <row r="4796" spans="1:2">
      <c r="A4796" s="23">
        <v>126103</v>
      </c>
      <c r="B4796" s="1" t="s">
        <v>4855</v>
      </c>
    </row>
    <row r="4797" spans="1:2">
      <c r="A4797" s="23">
        <v>126104</v>
      </c>
      <c r="B4797" s="1" t="s">
        <v>4856</v>
      </c>
    </row>
    <row r="4798" spans="1:2">
      <c r="A4798" s="23">
        <v>126105</v>
      </c>
      <c r="B4798" s="1" t="s">
        <v>4857</v>
      </c>
    </row>
    <row r="4799" spans="1:2">
      <c r="A4799" s="23">
        <v>126106</v>
      </c>
      <c r="B4799" s="1" t="s">
        <v>4858</v>
      </c>
    </row>
    <row r="4800" spans="1:2">
      <c r="A4800" s="23">
        <v>126107</v>
      </c>
      <c r="B4800" s="1" t="s">
        <v>4859</v>
      </c>
    </row>
    <row r="4801" spans="1:2">
      <c r="A4801" s="23">
        <v>126108</v>
      </c>
      <c r="B4801" s="1" t="s">
        <v>4860</v>
      </c>
    </row>
    <row r="4802" spans="1:2">
      <c r="A4802" s="23">
        <v>126109</v>
      </c>
      <c r="B4802" s="1" t="s">
        <v>4861</v>
      </c>
    </row>
    <row r="4803" spans="1:2">
      <c r="A4803" s="23">
        <v>126110</v>
      </c>
      <c r="B4803" s="1" t="s">
        <v>4862</v>
      </c>
    </row>
    <row r="4804" spans="1:2">
      <c r="A4804" s="23">
        <v>126111</v>
      </c>
      <c r="B4804" s="1" t="s">
        <v>4863</v>
      </c>
    </row>
    <row r="4805" spans="1:2">
      <c r="A4805" s="23">
        <v>126112</v>
      </c>
      <c r="B4805" s="1" t="s">
        <v>4864</v>
      </c>
    </row>
    <row r="4806" spans="1:2">
      <c r="A4806" s="23">
        <v>126113</v>
      </c>
      <c r="B4806" s="1" t="s">
        <v>4865</v>
      </c>
    </row>
    <row r="4807" spans="1:2">
      <c r="A4807" s="23">
        <v>126114</v>
      </c>
      <c r="B4807" s="1" t="s">
        <v>4866</v>
      </c>
    </row>
    <row r="4808" spans="1:2">
      <c r="A4808" s="23">
        <v>126115</v>
      </c>
      <c r="B4808" s="1" t="s">
        <v>4867</v>
      </c>
    </row>
    <row r="4809" spans="1:2">
      <c r="A4809" s="23">
        <v>126116</v>
      </c>
      <c r="B4809" s="1" t="s">
        <v>4868</v>
      </c>
    </row>
    <row r="4810" spans="1:2">
      <c r="A4810" s="23">
        <v>126117</v>
      </c>
      <c r="B4810" s="1" t="s">
        <v>4869</v>
      </c>
    </row>
    <row r="4811" spans="1:2">
      <c r="A4811" s="23">
        <v>126118</v>
      </c>
      <c r="B4811" s="1" t="s">
        <v>4870</v>
      </c>
    </row>
    <row r="4812" spans="1:2">
      <c r="A4812" s="23">
        <v>126119</v>
      </c>
      <c r="B4812" s="1" t="s">
        <v>4871</v>
      </c>
    </row>
    <row r="4813" spans="1:2">
      <c r="A4813" s="23">
        <v>126120</v>
      </c>
      <c r="B4813" s="1" t="s">
        <v>4872</v>
      </c>
    </row>
    <row r="4814" spans="1:2">
      <c r="A4814" s="23">
        <v>126121</v>
      </c>
      <c r="B4814" s="1" t="s">
        <v>4873</v>
      </c>
    </row>
    <row r="4815" spans="1:2">
      <c r="A4815" s="23">
        <v>126122</v>
      </c>
      <c r="B4815" s="1" t="s">
        <v>4874</v>
      </c>
    </row>
    <row r="4816" spans="1:2">
      <c r="A4816" s="23">
        <v>126123</v>
      </c>
      <c r="B4816" s="1" t="s">
        <v>4875</v>
      </c>
    </row>
    <row r="4817" spans="1:2">
      <c r="A4817" s="23">
        <v>126124</v>
      </c>
      <c r="B4817" s="1" t="s">
        <v>4876</v>
      </c>
    </row>
    <row r="4818" spans="1:2">
      <c r="A4818" s="23">
        <v>126125</v>
      </c>
      <c r="B4818" s="1" t="s">
        <v>4877</v>
      </c>
    </row>
    <row r="4819" spans="1:2">
      <c r="A4819" s="23">
        <v>126126</v>
      </c>
      <c r="B4819" s="1" t="s">
        <v>4878</v>
      </c>
    </row>
    <row r="4820" spans="1:2">
      <c r="A4820" s="23">
        <v>126127</v>
      </c>
      <c r="B4820" s="1" t="s">
        <v>4879</v>
      </c>
    </row>
    <row r="4821" spans="1:2">
      <c r="A4821" s="23">
        <v>126128</v>
      </c>
      <c r="B4821" s="1" t="s">
        <v>4880</v>
      </c>
    </row>
    <row r="4822" spans="1:2">
      <c r="A4822" s="23">
        <v>126129</v>
      </c>
      <c r="B4822" s="1" t="s">
        <v>4881</v>
      </c>
    </row>
    <row r="4823" spans="1:2">
      <c r="A4823" s="23">
        <v>126130</v>
      </c>
      <c r="B4823" s="1" t="s">
        <v>4882</v>
      </c>
    </row>
    <row r="4824" spans="1:2">
      <c r="A4824" s="23">
        <v>126131</v>
      </c>
      <c r="B4824" s="1" t="s">
        <v>4883</v>
      </c>
    </row>
    <row r="4825" spans="1:2">
      <c r="A4825" s="23">
        <v>126132</v>
      </c>
      <c r="B4825" s="1" t="s">
        <v>4884</v>
      </c>
    </row>
    <row r="4826" spans="1:2">
      <c r="A4826" s="23">
        <v>126133</v>
      </c>
      <c r="B4826" s="1" t="s">
        <v>4885</v>
      </c>
    </row>
    <row r="4827" spans="1:2">
      <c r="A4827" s="23">
        <v>126134</v>
      </c>
      <c r="B4827" s="1" t="s">
        <v>4886</v>
      </c>
    </row>
    <row r="4828" spans="1:2">
      <c r="A4828" s="23">
        <v>126135</v>
      </c>
      <c r="B4828" s="1" t="s">
        <v>4887</v>
      </c>
    </row>
    <row r="4829" spans="1:2">
      <c r="A4829" s="23">
        <v>126142</v>
      </c>
      <c r="B4829" s="1" t="s">
        <v>4888</v>
      </c>
    </row>
    <row r="4830" spans="1:2">
      <c r="A4830" s="23">
        <v>126143</v>
      </c>
      <c r="B4830" s="1" t="s">
        <v>4889</v>
      </c>
    </row>
    <row r="4831" spans="1:2">
      <c r="A4831" s="23">
        <v>126443</v>
      </c>
      <c r="B4831" s="1" t="s">
        <v>5090</v>
      </c>
    </row>
    <row r="4832" spans="1:2">
      <c r="A4832" s="23">
        <v>126444</v>
      </c>
      <c r="B4832" s="1" t="s">
        <v>5091</v>
      </c>
    </row>
    <row r="4833" spans="1:2">
      <c r="A4833" s="23">
        <v>126445</v>
      </c>
      <c r="B4833" s="1" t="s">
        <v>5092</v>
      </c>
    </row>
    <row r="4834" spans="1:2">
      <c r="A4834" s="23">
        <v>126446</v>
      </c>
      <c r="B4834" s="1" t="s">
        <v>5093</v>
      </c>
    </row>
    <row r="4835" spans="1:2">
      <c r="A4835" s="23">
        <v>126548</v>
      </c>
      <c r="B4835" s="1" t="s">
        <v>5159</v>
      </c>
    </row>
    <row r="4836" spans="1:2">
      <c r="A4836" s="23">
        <v>135158</v>
      </c>
      <c r="B4836" s="1" t="s">
        <v>4890</v>
      </c>
    </row>
    <row r="4837" spans="1:2">
      <c r="A4837" s="23">
        <v>135159</v>
      </c>
      <c r="B4837" s="1" t="s">
        <v>4891</v>
      </c>
    </row>
    <row r="4838" spans="1:2">
      <c r="A4838" s="23">
        <v>135160</v>
      </c>
      <c r="B4838" s="1" t="s">
        <v>4892</v>
      </c>
    </row>
    <row r="4839" spans="1:2">
      <c r="A4839" s="23">
        <v>135161</v>
      </c>
      <c r="B4839" s="1" t="s">
        <v>4893</v>
      </c>
    </row>
    <row r="4840" spans="1:2">
      <c r="A4840" s="23">
        <v>135168</v>
      </c>
      <c r="B4840" s="1" t="s">
        <v>4894</v>
      </c>
    </row>
    <row r="4841" spans="1:2">
      <c r="A4841" s="23">
        <v>135170</v>
      </c>
      <c r="B4841" s="1" t="s">
        <v>4895</v>
      </c>
    </row>
    <row r="4842" spans="1:2">
      <c r="A4842" s="23">
        <v>135176</v>
      </c>
      <c r="B4842" s="1" t="s">
        <v>4896</v>
      </c>
    </row>
    <row r="4843" spans="1:2">
      <c r="A4843" s="23">
        <v>135204</v>
      </c>
      <c r="B4843" s="1" t="s">
        <v>4897</v>
      </c>
    </row>
    <row r="4844" spans="1:2">
      <c r="A4844" s="23">
        <v>135205</v>
      </c>
      <c r="B4844" s="1" t="s">
        <v>4898</v>
      </c>
    </row>
    <row r="4845" spans="1:2">
      <c r="A4845" s="23">
        <v>135209</v>
      </c>
      <c r="B4845" s="1" t="s">
        <v>4899</v>
      </c>
    </row>
    <row r="4846" spans="1:2">
      <c r="A4846" s="23">
        <v>135210</v>
      </c>
      <c r="B4846" s="1" t="s">
        <v>4900</v>
      </c>
    </row>
    <row r="4847" spans="1:2">
      <c r="A4847" s="23">
        <v>135211</v>
      </c>
      <c r="B4847" s="1" t="s">
        <v>4901</v>
      </c>
    </row>
    <row r="4848" spans="1:2">
      <c r="A4848" s="23">
        <v>135212</v>
      </c>
      <c r="B4848" s="1" t="s">
        <v>4902</v>
      </c>
    </row>
    <row r="4849" spans="1:2">
      <c r="A4849" s="23">
        <v>135213</v>
      </c>
      <c r="B4849" s="1" t="s">
        <v>4903</v>
      </c>
    </row>
    <row r="4850" spans="1:2">
      <c r="A4850" s="23">
        <v>135234</v>
      </c>
      <c r="B4850" s="1" t="s">
        <v>4904</v>
      </c>
    </row>
    <row r="4851" spans="1:2">
      <c r="A4851" s="23">
        <v>135235</v>
      </c>
      <c r="B4851" s="1" t="s">
        <v>4905</v>
      </c>
    </row>
    <row r="4852" spans="1:2">
      <c r="A4852" s="23">
        <v>135237</v>
      </c>
      <c r="B4852" s="1" t="s">
        <v>4906</v>
      </c>
    </row>
    <row r="4853" spans="1:2">
      <c r="A4853" s="23">
        <v>135241</v>
      </c>
      <c r="B4853" s="1" t="s">
        <v>4907</v>
      </c>
    </row>
    <row r="4854" spans="1:2">
      <c r="A4854" s="23">
        <v>135271</v>
      </c>
      <c r="B4854" s="1" t="s">
        <v>4908</v>
      </c>
    </row>
    <row r="4855" spans="1:2">
      <c r="A4855" s="23">
        <v>135272</v>
      </c>
      <c r="B4855" s="1" t="s">
        <v>4909</v>
      </c>
    </row>
    <row r="4856" spans="1:2">
      <c r="A4856" s="23">
        <v>135273</v>
      </c>
      <c r="B4856" s="1" t="s">
        <v>4910</v>
      </c>
    </row>
    <row r="4857" spans="1:2">
      <c r="A4857" s="23">
        <v>135274</v>
      </c>
      <c r="B4857" s="1" t="s">
        <v>4911</v>
      </c>
    </row>
    <row r="4858" spans="1:2">
      <c r="A4858" s="23">
        <v>135275</v>
      </c>
      <c r="B4858" s="1" t="s">
        <v>4912</v>
      </c>
    </row>
    <row r="4859" spans="1:2">
      <c r="A4859" s="23">
        <v>135276</v>
      </c>
      <c r="B4859" s="1" t="s">
        <v>4913</v>
      </c>
    </row>
    <row r="4860" spans="1:2">
      <c r="A4860" s="23">
        <v>135303</v>
      </c>
      <c r="B4860" s="1" t="s">
        <v>4914</v>
      </c>
    </row>
    <row r="4861" spans="1:2">
      <c r="A4861" s="23">
        <v>135304</v>
      </c>
      <c r="B4861" s="1" t="s">
        <v>4915</v>
      </c>
    </row>
    <row r="4862" spans="1:2">
      <c r="A4862" s="23">
        <v>135305</v>
      </c>
      <c r="B4862" s="1" t="s">
        <v>4916</v>
      </c>
    </row>
    <row r="4863" spans="1:2">
      <c r="A4863" s="23">
        <v>135306</v>
      </c>
      <c r="B4863" s="1" t="s">
        <v>4917</v>
      </c>
    </row>
    <row r="4864" spans="1:2">
      <c r="A4864" s="23">
        <v>135307</v>
      </c>
      <c r="B4864" s="1" t="s">
        <v>4918</v>
      </c>
    </row>
    <row r="4865" spans="1:2">
      <c r="A4865" s="23">
        <v>135308</v>
      </c>
      <c r="B4865" s="1" t="s">
        <v>4919</v>
      </c>
    </row>
    <row r="4866" spans="1:2">
      <c r="A4866" s="23">
        <v>135309</v>
      </c>
      <c r="B4866" s="1" t="s">
        <v>4920</v>
      </c>
    </row>
    <row r="4867" spans="1:2">
      <c r="A4867" s="23">
        <v>135316</v>
      </c>
      <c r="B4867" s="1" t="s">
        <v>4921</v>
      </c>
    </row>
    <row r="4868" spans="1:2">
      <c r="A4868" s="23">
        <v>135317</v>
      </c>
      <c r="B4868" s="1" t="s">
        <v>4922</v>
      </c>
    </row>
    <row r="4869" spans="1:2">
      <c r="A4869" s="23">
        <v>135318</v>
      </c>
      <c r="B4869" s="1" t="s">
        <v>4923</v>
      </c>
    </row>
    <row r="4870" spans="1:2">
      <c r="A4870" s="23">
        <v>135332</v>
      </c>
      <c r="B4870" s="1" t="s">
        <v>4924</v>
      </c>
    </row>
    <row r="4871" spans="1:2">
      <c r="A4871" s="23">
        <v>135333</v>
      </c>
      <c r="B4871" s="1" t="s">
        <v>4925</v>
      </c>
    </row>
    <row r="4872" spans="1:2">
      <c r="A4872" s="23">
        <v>135334</v>
      </c>
      <c r="B4872" s="1" t="s">
        <v>4926</v>
      </c>
    </row>
    <row r="4873" spans="1:2">
      <c r="A4873" s="23">
        <v>135631</v>
      </c>
      <c r="B4873" s="1" t="s">
        <v>4927</v>
      </c>
    </row>
    <row r="4874" spans="1:2">
      <c r="A4874" s="23">
        <v>135632</v>
      </c>
      <c r="B4874" s="1" t="s">
        <v>4928</v>
      </c>
    </row>
    <row r="4875" spans="1:2">
      <c r="A4875" s="23">
        <v>135633</v>
      </c>
      <c r="B4875" s="1" t="s">
        <v>4929</v>
      </c>
    </row>
    <row r="4876" spans="1:2">
      <c r="A4876" s="23">
        <v>135634</v>
      </c>
      <c r="B4876" s="1" t="s">
        <v>4930</v>
      </c>
    </row>
    <row r="4877" spans="1:2">
      <c r="A4877" s="23">
        <v>135635</v>
      </c>
      <c r="B4877" s="1" t="s">
        <v>4931</v>
      </c>
    </row>
    <row r="4878" spans="1:2">
      <c r="A4878" s="23">
        <v>135636</v>
      </c>
      <c r="B4878" s="1" t="s">
        <v>4932</v>
      </c>
    </row>
    <row r="4879" spans="1:2">
      <c r="A4879" s="23">
        <v>135649</v>
      </c>
      <c r="B4879" s="1" t="s">
        <v>4933</v>
      </c>
    </row>
    <row r="4880" spans="1:2">
      <c r="A4880" s="23">
        <v>135650</v>
      </c>
      <c r="B4880" s="1" t="s">
        <v>4934</v>
      </c>
    </row>
    <row r="4881" spans="1:2">
      <c r="A4881" s="23">
        <v>135651</v>
      </c>
      <c r="B4881" s="1" t="s">
        <v>4935</v>
      </c>
    </row>
    <row r="4882" spans="1:2">
      <c r="A4882" s="23">
        <v>135652</v>
      </c>
      <c r="B4882" s="1" t="s">
        <v>4936</v>
      </c>
    </row>
    <row r="4883" spans="1:2">
      <c r="A4883" s="23">
        <v>135653</v>
      </c>
      <c r="B4883" s="1" t="s">
        <v>4937</v>
      </c>
    </row>
    <row r="4884" spans="1:2">
      <c r="A4884" s="23">
        <v>135654</v>
      </c>
      <c r="B4884" s="1" t="s">
        <v>4938</v>
      </c>
    </row>
    <row r="4885" spans="1:2">
      <c r="A4885" s="23">
        <v>135655</v>
      </c>
      <c r="B4885" s="1" t="s">
        <v>4939</v>
      </c>
    </row>
    <row r="4886" spans="1:2">
      <c r="A4886" s="23">
        <v>135656</v>
      </c>
      <c r="B4886" s="1" t="s">
        <v>4940</v>
      </c>
    </row>
    <row r="4887" spans="1:2">
      <c r="A4887" s="23">
        <v>135657</v>
      </c>
      <c r="B4887" s="1" t="s">
        <v>4941</v>
      </c>
    </row>
    <row r="4888" spans="1:2">
      <c r="A4888" s="23">
        <v>135658</v>
      </c>
      <c r="B4888" s="1" t="s">
        <v>4942</v>
      </c>
    </row>
    <row r="4889" spans="1:2">
      <c r="A4889" s="23">
        <v>135659</v>
      </c>
      <c r="B4889" s="1" t="s">
        <v>4943</v>
      </c>
    </row>
    <row r="4890" spans="1:2">
      <c r="A4890" s="23">
        <v>135660</v>
      </c>
      <c r="B4890" s="1" t="s">
        <v>4944</v>
      </c>
    </row>
    <row r="4891" spans="1:2">
      <c r="A4891" s="23">
        <v>135661</v>
      </c>
      <c r="B4891" s="1" t="s">
        <v>4945</v>
      </c>
    </row>
    <row r="4892" spans="1:2">
      <c r="A4892" s="23">
        <v>135662</v>
      </c>
      <c r="B4892" s="1" t="s">
        <v>4946</v>
      </c>
    </row>
    <row r="4893" spans="1:2">
      <c r="A4893" s="23">
        <v>135663</v>
      </c>
      <c r="B4893" s="1" t="s">
        <v>4947</v>
      </c>
    </row>
    <row r="4894" spans="1:2">
      <c r="A4894" s="23">
        <v>135664</v>
      </c>
      <c r="B4894" s="1" t="s">
        <v>4948</v>
      </c>
    </row>
    <row r="4895" spans="1:2">
      <c r="A4895" s="23">
        <v>135665</v>
      </c>
      <c r="B4895" s="1" t="s">
        <v>4949</v>
      </c>
    </row>
    <row r="4896" spans="1:2">
      <c r="A4896" s="23">
        <v>135666</v>
      </c>
      <c r="B4896" s="1" t="s">
        <v>4950</v>
      </c>
    </row>
    <row r="4897" spans="1:2">
      <c r="A4897" s="23">
        <v>135667</v>
      </c>
      <c r="B4897" s="1" t="s">
        <v>4951</v>
      </c>
    </row>
    <row r="4898" spans="1:2">
      <c r="A4898" s="23">
        <v>135668</v>
      </c>
      <c r="B4898" s="1" t="s">
        <v>4952</v>
      </c>
    </row>
    <row r="4899" spans="1:2">
      <c r="A4899" s="23">
        <v>135669</v>
      </c>
      <c r="B4899" s="1" t="s">
        <v>4953</v>
      </c>
    </row>
    <row r="4900" spans="1:2">
      <c r="A4900" s="23">
        <v>135670</v>
      </c>
      <c r="B4900" s="1" t="s">
        <v>4954</v>
      </c>
    </row>
    <row r="4901" spans="1:2">
      <c r="A4901" s="23">
        <v>135671</v>
      </c>
      <c r="B4901" s="1" t="s">
        <v>4955</v>
      </c>
    </row>
    <row r="4902" spans="1:2">
      <c r="A4902" s="23">
        <v>135672</v>
      </c>
      <c r="B4902" s="1" t="s">
        <v>4956</v>
      </c>
    </row>
    <row r="4903" spans="1:2">
      <c r="A4903" s="23">
        <v>135673</v>
      </c>
      <c r="B4903" s="1" t="s">
        <v>4957</v>
      </c>
    </row>
    <row r="4904" spans="1:2">
      <c r="A4904" s="23">
        <v>135674</v>
      </c>
      <c r="B4904" s="1" t="s">
        <v>4958</v>
      </c>
    </row>
    <row r="4905" spans="1:2">
      <c r="A4905" s="23">
        <v>135675</v>
      </c>
      <c r="B4905" s="1" t="s">
        <v>4959</v>
      </c>
    </row>
    <row r="4906" spans="1:2">
      <c r="A4906" s="23">
        <v>135676</v>
      </c>
      <c r="B4906" s="1" t="s">
        <v>4960</v>
      </c>
    </row>
    <row r="4907" spans="1:2">
      <c r="A4907" s="23">
        <v>135677</v>
      </c>
      <c r="B4907" s="1" t="s">
        <v>4961</v>
      </c>
    </row>
    <row r="4908" spans="1:2">
      <c r="A4908" s="23">
        <v>135678</v>
      </c>
      <c r="B4908" s="1" t="s">
        <v>4962</v>
      </c>
    </row>
    <row r="4909" spans="1:2">
      <c r="A4909" s="23">
        <v>135679</v>
      </c>
      <c r="B4909" s="1" t="s">
        <v>4963</v>
      </c>
    </row>
    <row r="4910" spans="1:2">
      <c r="A4910" s="23">
        <v>135680</v>
      </c>
      <c r="B4910" s="1" t="s">
        <v>4964</v>
      </c>
    </row>
    <row r="4911" spans="1:2">
      <c r="A4911" s="23">
        <v>135681</v>
      </c>
      <c r="B4911" s="1" t="s">
        <v>4965</v>
      </c>
    </row>
    <row r="4912" spans="1:2">
      <c r="A4912" s="23">
        <v>135682</v>
      </c>
      <c r="B4912" s="1" t="s">
        <v>4966</v>
      </c>
    </row>
    <row r="4913" spans="1:2">
      <c r="A4913" s="23">
        <v>135683</v>
      </c>
      <c r="B4913" s="1" t="s">
        <v>4967</v>
      </c>
    </row>
    <row r="4914" spans="1:2">
      <c r="A4914" s="23">
        <v>135687</v>
      </c>
      <c r="B4914" s="1" t="s">
        <v>4968</v>
      </c>
    </row>
    <row r="4915" spans="1:2">
      <c r="A4915" s="23">
        <v>135688</v>
      </c>
      <c r="B4915" s="1" t="s">
        <v>4969</v>
      </c>
    </row>
    <row r="4916" spans="1:2">
      <c r="A4916" s="23">
        <v>135689</v>
      </c>
      <c r="B4916" s="1" t="s">
        <v>4970</v>
      </c>
    </row>
    <row r="4917" spans="1:2">
      <c r="A4917" s="23">
        <v>135695</v>
      </c>
      <c r="B4917" s="1" t="s">
        <v>4971</v>
      </c>
    </row>
    <row r="4918" spans="1:2">
      <c r="A4918" s="23">
        <v>135704</v>
      </c>
      <c r="B4918" s="1" t="s">
        <v>4972</v>
      </c>
    </row>
    <row r="4919" spans="1:2">
      <c r="A4919" s="23">
        <v>135705</v>
      </c>
      <c r="B4919" s="1" t="s">
        <v>4973</v>
      </c>
    </row>
    <row r="4920" spans="1:2">
      <c r="A4920" s="23">
        <v>135706</v>
      </c>
      <c r="B4920" s="1" t="s">
        <v>4974</v>
      </c>
    </row>
    <row r="4921" spans="1:2">
      <c r="A4921" s="23">
        <v>135707</v>
      </c>
      <c r="B4921" s="1" t="s">
        <v>4975</v>
      </c>
    </row>
    <row r="4922" spans="1:2">
      <c r="A4922" s="23">
        <v>135708</v>
      </c>
      <c r="B4922" s="1" t="s">
        <v>4976</v>
      </c>
    </row>
    <row r="4923" spans="1:2">
      <c r="A4923" s="23">
        <v>135709</v>
      </c>
      <c r="B4923" s="1" t="s">
        <v>4977</v>
      </c>
    </row>
    <row r="4924" spans="1:2">
      <c r="A4924" s="23">
        <v>135710</v>
      </c>
      <c r="B4924" s="1" t="s">
        <v>4978</v>
      </c>
    </row>
    <row r="4925" spans="1:2">
      <c r="A4925" s="23">
        <v>135711</v>
      </c>
      <c r="B4925" s="1" t="s">
        <v>4979</v>
      </c>
    </row>
    <row r="4926" spans="1:2">
      <c r="A4926" s="23">
        <v>135712</v>
      </c>
      <c r="B4926" s="1" t="s">
        <v>4980</v>
      </c>
    </row>
    <row r="4927" spans="1:2">
      <c r="A4927" s="23">
        <v>135713</v>
      </c>
      <c r="B4927" s="1" t="s">
        <v>4711</v>
      </c>
    </row>
    <row r="4928" spans="1:2">
      <c r="A4928" s="23">
        <v>135714</v>
      </c>
      <c r="B4928" s="1" t="s">
        <v>4712</v>
      </c>
    </row>
    <row r="4929" spans="1:2">
      <c r="A4929" s="23">
        <v>135743</v>
      </c>
      <c r="B4929" s="1" t="s">
        <v>4981</v>
      </c>
    </row>
    <row r="4930" spans="1:2">
      <c r="A4930" s="23">
        <v>135747</v>
      </c>
      <c r="B4930" s="1" t="s">
        <v>4982</v>
      </c>
    </row>
    <row r="4931" spans="1:2">
      <c r="A4931" s="23">
        <v>135780</v>
      </c>
      <c r="B4931" s="1" t="s">
        <v>5087</v>
      </c>
    </row>
    <row r="4932" spans="1:2">
      <c r="A4932" s="23">
        <v>135781</v>
      </c>
      <c r="B4932" s="1" t="s">
        <v>5094</v>
      </c>
    </row>
    <row r="4933" spans="1:2">
      <c r="A4933" s="23">
        <v>135782</v>
      </c>
      <c r="B4933" s="1" t="s">
        <v>5095</v>
      </c>
    </row>
    <row r="4934" spans="1:2">
      <c r="A4934" s="23">
        <v>135783</v>
      </c>
      <c r="B4934" s="1" t="s">
        <v>5096</v>
      </c>
    </row>
    <row r="4935" spans="1:2">
      <c r="A4935" s="23">
        <v>135802</v>
      </c>
      <c r="B4935" s="1" t="s">
        <v>4983</v>
      </c>
    </row>
    <row r="4936" spans="1:2">
      <c r="A4936" s="23">
        <v>135803</v>
      </c>
      <c r="B4936" s="1" t="s">
        <v>4984</v>
      </c>
    </row>
    <row r="4937" spans="1:2">
      <c r="A4937" s="23">
        <v>135820</v>
      </c>
      <c r="B4937" s="1" t="s">
        <v>4985</v>
      </c>
    </row>
    <row r="4938" spans="1:2">
      <c r="A4938" s="23">
        <v>135821</v>
      </c>
      <c r="B4938" s="1" t="s">
        <v>4986</v>
      </c>
    </row>
    <row r="4939" spans="1:2">
      <c r="A4939" s="23">
        <v>135866</v>
      </c>
      <c r="B4939" s="1" t="s">
        <v>4987</v>
      </c>
    </row>
    <row r="4940" spans="1:2">
      <c r="A4940" s="23">
        <v>135868</v>
      </c>
      <c r="B4940" s="1" t="s">
        <v>4988</v>
      </c>
    </row>
    <row r="4941" spans="1:2">
      <c r="A4941" s="23">
        <v>135869</v>
      </c>
      <c r="B4941" s="1" t="s">
        <v>4989</v>
      </c>
    </row>
    <row r="4942" spans="1:2">
      <c r="A4942" s="23">
        <v>135871</v>
      </c>
      <c r="B4942" s="1" t="s">
        <v>4990</v>
      </c>
    </row>
    <row r="4943" spans="1:2">
      <c r="A4943" s="23">
        <v>135872</v>
      </c>
      <c r="B4943" s="1" t="s">
        <v>4991</v>
      </c>
    </row>
    <row r="4944" spans="1:2">
      <c r="A4944" s="23">
        <v>135873</v>
      </c>
      <c r="B4944" s="1" t="s">
        <v>4992</v>
      </c>
    </row>
    <row r="4945" spans="1:2">
      <c r="A4945" s="23">
        <v>135874</v>
      </c>
      <c r="B4945" s="1" t="s">
        <v>4993</v>
      </c>
    </row>
    <row r="4946" spans="1:2">
      <c r="A4946" s="23">
        <v>135875</v>
      </c>
      <c r="B4946" s="1" t="s">
        <v>4994</v>
      </c>
    </row>
    <row r="4947" spans="1:2">
      <c r="A4947" s="23">
        <v>136042</v>
      </c>
      <c r="B4947" s="1" t="s">
        <v>4995</v>
      </c>
    </row>
    <row r="4948" spans="1:2">
      <c r="A4948" s="23">
        <v>136043</v>
      </c>
      <c r="B4948" s="1" t="s">
        <v>4996</v>
      </c>
    </row>
    <row r="4949" spans="1:2">
      <c r="A4949" s="23">
        <v>136044</v>
      </c>
      <c r="B4949" s="1" t="s">
        <v>4997</v>
      </c>
    </row>
    <row r="4950" spans="1:2">
      <c r="A4950" s="23">
        <v>136045</v>
      </c>
      <c r="B4950" s="1" t="s">
        <v>4998</v>
      </c>
    </row>
    <row r="4951" spans="1:2">
      <c r="A4951" s="23">
        <v>136046</v>
      </c>
      <c r="B4951" s="1" t="s">
        <v>4999</v>
      </c>
    </row>
    <row r="4952" spans="1:2">
      <c r="A4952" s="23">
        <v>136179</v>
      </c>
      <c r="B4952" s="1" t="s">
        <v>5000</v>
      </c>
    </row>
    <row r="4953" spans="1:2">
      <c r="A4953" s="23">
        <v>136404</v>
      </c>
      <c r="B4953" s="1" t="s">
        <v>5097</v>
      </c>
    </row>
    <row r="4954" spans="1:2">
      <c r="A4954" s="23">
        <v>136405</v>
      </c>
      <c r="B4954" s="1" t="s">
        <v>5098</v>
      </c>
    </row>
    <row r="4955" spans="1:2">
      <c r="A4955" s="23">
        <v>136406</v>
      </c>
      <c r="B4955" s="1" t="s">
        <v>5099</v>
      </c>
    </row>
    <row r="4956" spans="1:2">
      <c r="A4956" s="23">
        <v>136407</v>
      </c>
      <c r="B4956" s="1" t="s">
        <v>5100</v>
      </c>
    </row>
    <row r="4957" spans="1:2">
      <c r="A4957" s="23">
        <v>136408</v>
      </c>
      <c r="B4957" s="1" t="s">
        <v>5101</v>
      </c>
    </row>
    <row r="4958" spans="1:2">
      <c r="A4958" s="23">
        <v>136409</v>
      </c>
      <c r="B4958" s="1" t="s">
        <v>4993</v>
      </c>
    </row>
    <row r="4959" spans="1:2">
      <c r="A4959" s="23">
        <v>136510</v>
      </c>
      <c r="B4959" s="1" t="s">
        <v>5102</v>
      </c>
    </row>
    <row r="4960" spans="1:2">
      <c r="A4960" s="23">
        <v>136511</v>
      </c>
      <c r="B4960" s="1" t="s">
        <v>5103</v>
      </c>
    </row>
    <row r="4961" spans="1:2">
      <c r="A4961" s="23">
        <v>136512</v>
      </c>
      <c r="B4961" s="1" t="s">
        <v>5104</v>
      </c>
    </row>
    <row r="4962" spans="1:2">
      <c r="A4962" s="23">
        <v>136513</v>
      </c>
      <c r="B4962" s="1" t="s">
        <v>5105</v>
      </c>
    </row>
    <row r="4963" spans="1:2">
      <c r="A4963" s="23">
        <v>136514</v>
      </c>
      <c r="B4963" s="1" t="s">
        <v>5106</v>
      </c>
    </row>
    <row r="4964" spans="1:2">
      <c r="A4964" s="23">
        <v>136515</v>
      </c>
      <c r="B4964" s="1" t="s">
        <v>5107</v>
      </c>
    </row>
    <row r="4965" spans="1:2">
      <c r="A4965" s="23">
        <v>136584</v>
      </c>
      <c r="B4965" s="1" t="s">
        <v>5108</v>
      </c>
    </row>
    <row r="4966" spans="1:2">
      <c r="A4966" s="23">
        <v>136588</v>
      </c>
      <c r="B4966" s="1" t="s">
        <v>5109</v>
      </c>
    </row>
    <row r="4967" spans="1:2">
      <c r="A4967" s="23">
        <v>136589</v>
      </c>
      <c r="B4967" s="1" t="s">
        <v>5110</v>
      </c>
    </row>
    <row r="4968" spans="1:2">
      <c r="A4968" s="23">
        <v>136590</v>
      </c>
      <c r="B4968" s="1" t="s">
        <v>5111</v>
      </c>
    </row>
    <row r="4969" spans="1:2">
      <c r="A4969" s="23">
        <v>136659</v>
      </c>
      <c r="B4969" s="1" t="s">
        <v>5112</v>
      </c>
    </row>
    <row r="4970" spans="1:2">
      <c r="A4970" s="23">
        <v>136660</v>
      </c>
      <c r="B4970" s="1" t="s">
        <v>5113</v>
      </c>
    </row>
    <row r="4971" spans="1:2">
      <c r="A4971" s="23">
        <v>136665</v>
      </c>
      <c r="B4971" s="1" t="s">
        <v>5114</v>
      </c>
    </row>
    <row r="4972" spans="1:2">
      <c r="A4972" s="23">
        <v>136803</v>
      </c>
      <c r="B4972" s="1" t="s">
        <v>5115</v>
      </c>
    </row>
    <row r="4973" spans="1:2">
      <c r="A4973" s="23">
        <v>136804</v>
      </c>
      <c r="B4973" s="1" t="s">
        <v>5116</v>
      </c>
    </row>
    <row r="4974" spans="1:2">
      <c r="A4974" s="23">
        <v>136805</v>
      </c>
      <c r="B4974" s="1" t="s">
        <v>5117</v>
      </c>
    </row>
    <row r="4975" spans="1:2">
      <c r="A4975" s="23">
        <v>136807</v>
      </c>
      <c r="B4975" s="1" t="s">
        <v>5118</v>
      </c>
    </row>
    <row r="4976" spans="1:2">
      <c r="A4976" s="23">
        <v>136808</v>
      </c>
      <c r="B4976" s="1" t="s">
        <v>5119</v>
      </c>
    </row>
    <row r="4977" spans="1:2">
      <c r="A4977" s="23">
        <v>136809</v>
      </c>
      <c r="B4977" s="1" t="s">
        <v>5120</v>
      </c>
    </row>
    <row r="4978" spans="1:2">
      <c r="A4978" s="23">
        <v>136868</v>
      </c>
      <c r="B4978" s="1" t="s">
        <v>5121</v>
      </c>
    </row>
    <row r="4979" spans="1:2">
      <c r="A4979" s="23">
        <v>136869</v>
      </c>
      <c r="B4979" s="1" t="s">
        <v>5122</v>
      </c>
    </row>
    <row r="4980" spans="1:2">
      <c r="A4980" s="23">
        <v>136870</v>
      </c>
      <c r="B4980" s="1" t="s">
        <v>4701</v>
      </c>
    </row>
    <row r="4981" spans="1:2">
      <c r="A4981" s="23">
        <v>136871</v>
      </c>
      <c r="B4981" s="1" t="s">
        <v>5123</v>
      </c>
    </row>
    <row r="4982" spans="1:2">
      <c r="A4982" s="23">
        <v>136884</v>
      </c>
      <c r="B4982" s="1" t="s">
        <v>5124</v>
      </c>
    </row>
    <row r="4983" spans="1:2">
      <c r="A4983" s="23">
        <v>500155</v>
      </c>
      <c r="B4983" s="1" t="s">
        <v>5125</v>
      </c>
    </row>
    <row r="4984" spans="1:2">
      <c r="A4984" s="23">
        <v>500212</v>
      </c>
      <c r="B4984" s="1" t="s">
        <v>5162</v>
      </c>
    </row>
    <row r="4985" spans="1:2">
      <c r="A4985" s="23">
        <v>500259</v>
      </c>
      <c r="B4985" s="1" t="s">
        <v>5160</v>
      </c>
    </row>
    <row r="4986" spans="1:2">
      <c r="A4986" s="23">
        <v>500317</v>
      </c>
      <c r="B4986" s="1" t="s">
        <v>5161</v>
      </c>
    </row>
    <row r="4987" spans="1:2">
      <c r="A4987" s="23">
        <v>500319</v>
      </c>
      <c r="B4987" s="1" t="s">
        <v>5126</v>
      </c>
    </row>
    <row r="4988" spans="1:2">
      <c r="A4988" s="23">
        <v>500320</v>
      </c>
      <c r="B4988" s="1" t="s">
        <v>5127</v>
      </c>
    </row>
    <row r="4989" spans="1:2">
      <c r="A4989" s="23">
        <v>500321</v>
      </c>
      <c r="B4989" s="1" t="s">
        <v>5128</v>
      </c>
    </row>
    <row r="4990" spans="1:2">
      <c r="A4990" s="23">
        <v>500322</v>
      </c>
      <c r="B4990" s="1" t="s">
        <v>5129</v>
      </c>
    </row>
    <row r="4991" spans="1:2">
      <c r="A4991" s="23">
        <v>500323</v>
      </c>
      <c r="B4991" s="1" t="s">
        <v>5130</v>
      </c>
    </row>
    <row r="4992" spans="1:2">
      <c r="A4992" s="23">
        <v>500324</v>
      </c>
      <c r="B4992" s="1" t="s">
        <v>5131</v>
      </c>
    </row>
    <row r="4993" spans="1:2">
      <c r="A4993" s="23">
        <v>500325</v>
      </c>
      <c r="B4993" s="1" t="s">
        <v>5132</v>
      </c>
    </row>
    <row r="4994" spans="1:2">
      <c r="A4994" s="23">
        <v>500326</v>
      </c>
      <c r="B4994" s="1" t="s">
        <v>5133</v>
      </c>
    </row>
    <row r="4995" spans="1:2">
      <c r="A4995" s="23">
        <v>500327</v>
      </c>
      <c r="B4995" s="1" t="s">
        <v>5134</v>
      </c>
    </row>
    <row r="4996" spans="1:2">
      <c r="A4996" s="23">
        <v>500328</v>
      </c>
      <c r="B4996" s="1" t="s">
        <v>5135</v>
      </c>
    </row>
    <row r="4997" spans="1:2">
      <c r="A4997" s="23">
        <v>500336</v>
      </c>
      <c r="B4997" s="1" t="s">
        <v>5136</v>
      </c>
    </row>
    <row r="4998" spans="1:2">
      <c r="A4998" s="23">
        <v>500337</v>
      </c>
      <c r="B4998" s="1" t="s">
        <v>5137</v>
      </c>
    </row>
    <row r="4999" spans="1:2">
      <c r="A4999" s="23">
        <v>500399</v>
      </c>
      <c r="B4999" s="1" t="s">
        <v>5138</v>
      </c>
    </row>
    <row r="5000" spans="1:2">
      <c r="A5000" s="23">
        <v>500446</v>
      </c>
      <c r="B5000" s="1" t="s">
        <v>5139</v>
      </c>
    </row>
    <row r="5001" spans="1:2">
      <c r="A5001" s="23">
        <v>500762</v>
      </c>
      <c r="B5001" s="1" t="s">
        <v>5082</v>
      </c>
    </row>
    <row r="5002" spans="1:2">
      <c r="A5002" s="23">
        <v>500763</v>
      </c>
      <c r="B5002" s="1" t="s">
        <v>5140</v>
      </c>
    </row>
    <row r="5003" spans="1:2">
      <c r="A5003" s="23">
        <v>500764</v>
      </c>
      <c r="B5003" s="1" t="s">
        <v>5083</v>
      </c>
    </row>
    <row r="5004" spans="1:2">
      <c r="A5004" s="23">
        <v>500765</v>
      </c>
      <c r="B5004" s="1" t="s">
        <v>5141</v>
      </c>
    </row>
    <row r="5005" spans="1:2">
      <c r="A5005" s="23">
        <v>500770</v>
      </c>
      <c r="B5005" s="1" t="s">
        <v>5142</v>
      </c>
    </row>
    <row r="5006" spans="1:2">
      <c r="A5006" s="23">
        <v>500771</v>
      </c>
      <c r="B5006" s="1" t="s">
        <v>5143</v>
      </c>
    </row>
    <row r="5007" spans="1:2">
      <c r="A5007" s="23">
        <v>500772</v>
      </c>
      <c r="B5007" s="1" t="s">
        <v>5084</v>
      </c>
    </row>
    <row r="5008" spans="1:2">
      <c r="A5008" s="23">
        <v>500773</v>
      </c>
      <c r="B5008" s="1" t="s">
        <v>5144</v>
      </c>
    </row>
    <row r="5009" spans="1:2">
      <c r="A5009" s="23">
        <v>500774</v>
      </c>
      <c r="B5009" s="1" t="s">
        <v>5145</v>
      </c>
    </row>
    <row r="5010" spans="1:2">
      <c r="A5010" s="23">
        <v>500775</v>
      </c>
      <c r="B5010" s="1" t="s">
        <v>5081</v>
      </c>
    </row>
    <row r="5011" spans="1:2">
      <c r="A5011" s="23">
        <v>500776</v>
      </c>
      <c r="B5011" s="1" t="s">
        <v>5146</v>
      </c>
    </row>
    <row r="5012" spans="1:2">
      <c r="A5012" s="23">
        <v>500777</v>
      </c>
      <c r="B5012" s="1" t="s">
        <v>5147</v>
      </c>
    </row>
    <row r="5013" spans="1:2">
      <c r="A5013" s="23">
        <v>500778</v>
      </c>
      <c r="B5013" s="1" t="s">
        <v>5085</v>
      </c>
    </row>
    <row r="5014" spans="1:2">
      <c r="A5014" s="23">
        <v>500779</v>
      </c>
      <c r="B5014" s="1" t="s">
        <v>5148</v>
      </c>
    </row>
    <row r="5015" spans="1:2">
      <c r="A5015" s="23">
        <v>500780</v>
      </c>
      <c r="B5015" s="1" t="s">
        <v>5149</v>
      </c>
    </row>
    <row r="5016" spans="1:2">
      <c r="A5016" s="23">
        <v>500931</v>
      </c>
      <c r="B5016" s="1" t="s">
        <v>5086</v>
      </c>
    </row>
    <row r="5017" spans="1:2">
      <c r="A5017" s="23">
        <v>501029</v>
      </c>
      <c r="B5017" s="1" t="s">
        <v>5150</v>
      </c>
    </row>
    <row r="5018" spans="1:2">
      <c r="A5018" s="23">
        <v>501030</v>
      </c>
      <c r="B5018" s="1" t="s">
        <v>5089</v>
      </c>
    </row>
    <row r="5019" spans="1:2">
      <c r="A5019" s="23">
        <v>501031</v>
      </c>
      <c r="B5019" s="1" t="s">
        <v>5151</v>
      </c>
    </row>
    <row r="5020" spans="1:2">
      <c r="A5020" s="23">
        <v>501032</v>
      </c>
      <c r="B5020" s="1" t="s">
        <v>5152</v>
      </c>
    </row>
    <row r="5021" spans="1:2">
      <c r="A5021" s="23">
        <v>501033</v>
      </c>
      <c r="B5021" s="1" t="s">
        <v>5153</v>
      </c>
    </row>
    <row r="5022" spans="1:2">
      <c r="A5022" s="23">
        <v>501247</v>
      </c>
      <c r="B5022" s="1" t="s">
        <v>5154</v>
      </c>
    </row>
    <row r="5023" spans="1:2">
      <c r="A5023" s="23">
        <v>501248</v>
      </c>
      <c r="B5023" s="1" t="s">
        <v>5155</v>
      </c>
    </row>
    <row r="5024" spans="1:2">
      <c r="A5024" s="23">
        <v>501249</v>
      </c>
      <c r="B5024" s="1" t="s">
        <v>5156</v>
      </c>
    </row>
    <row r="5025" spans="1:2">
      <c r="A5025" s="23">
        <v>501250</v>
      </c>
      <c r="B5025" s="1" t="s">
        <v>5157</v>
      </c>
    </row>
    <row r="5026" spans="1:2">
      <c r="A5026" s="23">
        <v>501309</v>
      </c>
      <c r="B5026" s="1" t="s">
        <v>4480</v>
      </c>
    </row>
    <row r="5027" spans="1:2">
      <c r="A5027" s="23">
        <v>125722</v>
      </c>
      <c r="B5027" s="1" t="s">
        <v>5163</v>
      </c>
    </row>
    <row r="5028" spans="1:2">
      <c r="A5028" s="23">
        <v>125723</v>
      </c>
      <c r="B5028" s="1" t="s">
        <v>5164</v>
      </c>
    </row>
    <row r="5029" spans="1:2">
      <c r="A5029" s="23">
        <v>126425</v>
      </c>
      <c r="B5029" s="1" t="s">
        <v>5165</v>
      </c>
    </row>
    <row r="5030" spans="1:2">
      <c r="A5030" s="23">
        <v>126483</v>
      </c>
      <c r="B5030" s="1" t="s">
        <v>5166</v>
      </c>
    </row>
    <row r="5031" spans="1:2">
      <c r="A5031" s="23">
        <v>126496</v>
      </c>
      <c r="B5031" s="1" t="s">
        <v>5167</v>
      </c>
    </row>
    <row r="5032" spans="1:2">
      <c r="A5032" s="23">
        <v>126497</v>
      </c>
      <c r="B5032" s="1" t="s">
        <v>5168</v>
      </c>
    </row>
    <row r="5033" spans="1:2">
      <c r="A5033" s="23">
        <v>126498</v>
      </c>
      <c r="B5033" s="1" t="s">
        <v>5169</v>
      </c>
    </row>
    <row r="5034" spans="1:2">
      <c r="A5034" s="23">
        <v>126499</v>
      </c>
      <c r="B5034" s="1" t="s">
        <v>5170</v>
      </c>
    </row>
    <row r="5035" spans="1:2">
      <c r="A5035" s="23">
        <v>126502</v>
      </c>
      <c r="B5035" s="1" t="s">
        <v>5171</v>
      </c>
    </row>
    <row r="5036" spans="1:2">
      <c r="A5036" s="23">
        <v>126503</v>
      </c>
      <c r="B5036" s="1" t="s">
        <v>5172</v>
      </c>
    </row>
    <row r="5037" spans="1:2">
      <c r="A5037" s="23">
        <v>126588</v>
      </c>
      <c r="B5037" s="1" t="s">
        <v>5173</v>
      </c>
    </row>
    <row r="5038" spans="1:2">
      <c r="A5038" s="23">
        <v>500098</v>
      </c>
      <c r="B5038" s="1" t="s">
        <v>5174</v>
      </c>
    </row>
    <row r="5039" spans="1:2">
      <c r="A5039" s="23">
        <v>500099</v>
      </c>
      <c r="B5039" s="1" t="s">
        <v>5175</v>
      </c>
    </row>
    <row r="5040" spans="1:2">
      <c r="A5040" s="23">
        <v>500514</v>
      </c>
      <c r="B5040" s="1" t="s">
        <v>5176</v>
      </c>
    </row>
    <row r="5041" spans="1:2">
      <c r="A5041" s="23">
        <v>500664</v>
      </c>
      <c r="B5041" s="1" t="s">
        <v>5177</v>
      </c>
    </row>
    <row r="5042" spans="1:2">
      <c r="A5042" s="23">
        <v>500704</v>
      </c>
      <c r="B5042" s="1" t="s">
        <v>5178</v>
      </c>
    </row>
    <row r="5043" spans="1:2">
      <c r="A5043" s="23">
        <v>500705</v>
      </c>
      <c r="B5043" s="1" t="s">
        <v>5179</v>
      </c>
    </row>
    <row r="5044" spans="1:2">
      <c r="A5044" s="23">
        <v>500913</v>
      </c>
      <c r="B5044" s="1" t="s">
        <v>5180</v>
      </c>
    </row>
    <row r="5045" spans="1:2">
      <c r="A5045" s="23">
        <v>500940</v>
      </c>
      <c r="B5045" s="1" t="s">
        <v>5181</v>
      </c>
    </row>
    <row r="5046" spans="1:2">
      <c r="A5046" s="23">
        <v>500981</v>
      </c>
      <c r="B5046" s="1" t="s">
        <v>5182</v>
      </c>
    </row>
    <row r="5047" spans="1:2">
      <c r="A5047" s="23">
        <v>501622</v>
      </c>
      <c r="B5047" s="1" t="s">
        <v>5183</v>
      </c>
    </row>
    <row r="5048" spans="1:2">
      <c r="A5048" s="23">
        <v>501623</v>
      </c>
      <c r="B5048" s="1" t="s">
        <v>5184</v>
      </c>
    </row>
    <row r="5049" spans="1:2">
      <c r="A5049" s="23">
        <v>501624</v>
      </c>
      <c r="B5049" s="1" t="s">
        <v>5185</v>
      </c>
    </row>
    <row r="5050" spans="1:2">
      <c r="A5050" s="23">
        <v>501625</v>
      </c>
      <c r="B5050" s="1" t="s">
        <v>5186</v>
      </c>
    </row>
    <row r="5051" spans="1:2">
      <c r="A5051" s="23">
        <v>501626</v>
      </c>
      <c r="B5051" s="1" t="s">
        <v>5187</v>
      </c>
    </row>
    <row r="5052" spans="1:2">
      <c r="A5052" s="23">
        <v>501627</v>
      </c>
      <c r="B5052" s="1" t="s">
        <v>5188</v>
      </c>
    </row>
    <row r="5053" spans="1:2">
      <c r="A5053" s="23">
        <v>501628</v>
      </c>
      <c r="B5053" s="1" t="s">
        <v>5189</v>
      </c>
    </row>
    <row r="5054" spans="1:2">
      <c r="A5054" s="23">
        <v>501629</v>
      </c>
      <c r="B5054" s="1" t="s">
        <v>5190</v>
      </c>
    </row>
    <row r="5055" spans="1:2">
      <c r="A5055" s="23">
        <v>501633</v>
      </c>
      <c r="B5055" s="1" t="s">
        <v>5191</v>
      </c>
    </row>
    <row r="5056" spans="1:2">
      <c r="A5056" s="23">
        <v>501826</v>
      </c>
      <c r="B5056" s="1" t="s">
        <v>5192</v>
      </c>
    </row>
    <row r="5057" spans="1:2">
      <c r="A5057" s="23">
        <v>502177</v>
      </c>
      <c r="B5057" s="1" t="s">
        <v>5193</v>
      </c>
    </row>
    <row r="5058" spans="1:2">
      <c r="A5058" s="23">
        <v>502181</v>
      </c>
      <c r="B5058" s="1" t="s">
        <v>5194</v>
      </c>
    </row>
    <row r="5059" spans="1:2">
      <c r="A5059" s="23">
        <v>502184</v>
      </c>
      <c r="B5059" s="1" t="s">
        <v>5195</v>
      </c>
    </row>
    <row r="5060" spans="1:2">
      <c r="A5060" s="23">
        <v>502290</v>
      </c>
      <c r="B5060" s="1" t="s">
        <v>5196</v>
      </c>
    </row>
    <row r="5061" spans="1:2">
      <c r="A5061" s="23">
        <v>503115</v>
      </c>
      <c r="B5061" s="1" t="s">
        <v>5197</v>
      </c>
    </row>
    <row r="5062" spans="1:2">
      <c r="A5062" s="23">
        <v>503117</v>
      </c>
      <c r="B5062" s="1" t="s">
        <v>5198</v>
      </c>
    </row>
    <row r="5063" spans="1:2">
      <c r="A5063" s="23">
        <v>503118</v>
      </c>
      <c r="B5063" s="1" t="s">
        <v>5199</v>
      </c>
    </row>
    <row r="5064" spans="1:2">
      <c r="A5064" s="23">
        <v>501312</v>
      </c>
      <c r="B5064" s="1" t="s">
        <v>4897</v>
      </c>
    </row>
  </sheetData>
  <sortState ref="A2:B5027">
    <sortCondition ref="A2:A50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W2"/>
  <sheetViews>
    <sheetView topLeftCell="L1" workbookViewId="0">
      <selection activeCell="W1" sqref="T1:W1"/>
    </sheetView>
  </sheetViews>
  <sheetFormatPr defaultRowHeight="12.75"/>
  <cols>
    <col min="1" max="1" width="9.7109375" style="1" bestFit="1" customWidth="1"/>
    <col min="2" max="2" width="27.85546875" style="1" bestFit="1" customWidth="1"/>
    <col min="3" max="4" width="17.5703125" style="1" bestFit="1" customWidth="1"/>
    <col min="5" max="5" width="16.7109375" style="1" bestFit="1" customWidth="1"/>
    <col min="6" max="6" width="15.5703125" style="1" bestFit="1" customWidth="1"/>
    <col min="7" max="7" width="57.28515625" style="1" bestFit="1" customWidth="1"/>
    <col min="8" max="8" width="20.28515625" style="1" bestFit="1" customWidth="1"/>
    <col min="9" max="9" width="19.42578125" style="1" bestFit="1" customWidth="1"/>
    <col min="10" max="11" width="21.85546875" style="1" bestFit="1" customWidth="1"/>
    <col min="12" max="12" width="21" style="1" bestFit="1" customWidth="1"/>
    <col min="13" max="13" width="19.85546875" style="1" bestFit="1" customWidth="1"/>
    <col min="14" max="14" width="19.42578125" style="1" bestFit="1" customWidth="1"/>
    <col min="15" max="15" width="15.28515625" style="1" bestFit="1" customWidth="1"/>
    <col min="16" max="16" width="10.7109375" style="1" bestFit="1" customWidth="1"/>
    <col min="17" max="17" width="11.85546875" style="1" bestFit="1" customWidth="1"/>
    <col min="18" max="18" width="9.140625" style="1" bestFit="1" customWidth="1"/>
    <col min="19" max="16384" width="9.140625" style="1"/>
  </cols>
  <sheetData>
    <row r="1" spans="1:23">
      <c r="A1" s="1" t="s">
        <v>5004</v>
      </c>
      <c r="B1" s="1" t="s">
        <v>5005</v>
      </c>
      <c r="C1" s="1" t="s">
        <v>5006</v>
      </c>
      <c r="D1" s="1" t="s">
        <v>5007</v>
      </c>
      <c r="E1" s="1" t="s">
        <v>5008</v>
      </c>
      <c r="F1" s="1" t="s">
        <v>5009</v>
      </c>
      <c r="G1" s="1" t="s">
        <v>5010</v>
      </c>
      <c r="H1" s="1" t="s">
        <v>5011</v>
      </c>
      <c r="I1" s="1" t="s">
        <v>5012</v>
      </c>
      <c r="J1" s="1" t="s">
        <v>5013</v>
      </c>
      <c r="K1" s="1" t="s">
        <v>5014</v>
      </c>
      <c r="L1" s="1" t="s">
        <v>5015</v>
      </c>
      <c r="M1" s="1" t="s">
        <v>5016</v>
      </c>
      <c r="N1" s="1" t="s">
        <v>5017</v>
      </c>
      <c r="O1" s="1" t="s">
        <v>5018</v>
      </c>
      <c r="P1" s="1" t="s">
        <v>5019</v>
      </c>
      <c r="Q1" s="1" t="s">
        <v>5020</v>
      </c>
      <c r="R1" s="1" t="s">
        <v>65</v>
      </c>
      <c r="S1" s="20" t="s">
        <v>5060</v>
      </c>
      <c r="T1" s="1" t="s">
        <v>5069</v>
      </c>
      <c r="U1" s="1" t="s">
        <v>5070</v>
      </c>
      <c r="V1" s="1" t="s">
        <v>5071</v>
      </c>
      <c r="W1" s="1" t="s">
        <v>5072</v>
      </c>
    </row>
    <row r="2" spans="1:23">
      <c r="A2" s="1" t="str">
        <f>IF(POR_TEMPLATE!E7="","",POR_TEMPLATE!E7)</f>
        <v>Other</v>
      </c>
      <c r="B2" s="1" t="str">
        <f>IF(POR_TEMPLATE!F7="","",POR_TEMPLATE!F7)</f>
        <v>REAL GOODS SOLAR</v>
      </c>
      <c r="C2" s="1" t="str">
        <f>IF(POR_TEMPLATE!E9="","",POR_TEMPLATE!E9)</f>
        <v>7003 East 47th Avenue Drive Unit 700</v>
      </c>
      <c r="D2" s="1" t="str">
        <f>IF(POR_TEMPLATE!E11="","",POR_TEMPLATE!E11)</f>
        <v>Denver, CO, 80216, US</v>
      </c>
      <c r="E2" s="1" t="str">
        <f>IF(POR_TEMPLATE!E13="","",POR_TEMPLATE!E13)</f>
        <v>SARAH MONIZ</v>
      </c>
      <c r="F2" s="1" t="str">
        <f>IF(POR_TEMPLATE!E15="","",POR_TEMPLATE!E15)</f>
        <v>408-703-2242</v>
      </c>
      <c r="G2" s="1" t="str">
        <f>IF(POR_TEMPLATE!E17="","",POR_TEMPLATE!E17)</f>
        <v>sarah.moniz@realgoods.com</v>
      </c>
      <c r="H2" s="1" t="str">
        <f>IF(POR_TEMPLATE!O7="","",POR_TEMPLATE!O7)</f>
        <v>W07</v>
      </c>
      <c r="I2" s="1" t="str">
        <f>IF(POR_TEMPLATE!P7="","",POR_TEMPLATE!P7)</f>
        <v>Mesa Systems, Inc</v>
      </c>
      <c r="J2" s="1" t="str">
        <f>IF(POR_TEMPLATE!O9="","",POR_TEMPLATE!O9)</f>
        <v>403 S Airport Blvd</v>
      </c>
      <c r="K2" s="1" t="str">
        <f>IF(POR_TEMPLATE!O11="","",POR_TEMPLATE!O11)</f>
        <v>Aurora, CO 80017</v>
      </c>
      <c r="L2" s="1" t="str">
        <f>IF(POR_TEMPLATE!O13="","",POR_TEMPLATE!O13)</f>
        <v>Jeremy Clemente/Jose Diaz</v>
      </c>
      <c r="M2" s="1" t="str">
        <f>IF(POR_TEMPLATE!O15="","",POR_TEMPLATE!O15)</f>
        <v>303 923 1276</v>
      </c>
      <c r="N2" s="1" t="str">
        <f>IF(POR_TEMPLATE!O17="","",POR_TEMPLATE!O17)</f>
        <v>JClemente@mesamoving.com/ SunPowerW07@mesasystemsinc.com</v>
      </c>
      <c r="O2" s="1" t="str">
        <f>IF(POR_TEMPLATE!E26="","",POR_TEMPLATE!E26)</f>
        <v>other</v>
      </c>
      <c r="P2" s="16">
        <f>IF(POR_TEMPLATE!E28="","",POR_TEMPLATE!E28)</f>
        <v>41298</v>
      </c>
      <c r="Q2" s="16" t="str">
        <f>IF(POR_TEMPLATE!E30="","",POR_TEMPLATE!E30)</f>
        <v/>
      </c>
      <c r="R2" s="16" t="str">
        <f>IF(POR_TEMPLATE!N26="","",POR_TEMPLATE!N26)</f>
        <v/>
      </c>
      <c r="S2" s="23">
        <f>IF(POR_TEMPLATE!R3="","",POR_TEMPLATE!R3)</f>
        <v>20110803</v>
      </c>
      <c r="T2" s="23">
        <f>IF(POR_TEMPLATE!E20="","",POR_TEMPLATE!E20)</f>
        <v>189393</v>
      </c>
      <c r="U2" s="23">
        <f>IF(POR_TEMPLATE!E22="","",POR_TEMPLATE!E22)</f>
        <v>10209557</v>
      </c>
      <c r="V2" s="23" t="str">
        <f>IF(POR_TEMPLATE!E24="","",POR_TEMPLATE!E24)</f>
        <v>Pick-up Only for a Cancelled Lease</v>
      </c>
      <c r="W2" s="23" t="str">
        <f>IF(POR_TEMPLATE!L20="","",POR_TEMPLATE!L20)</f>
        <v xml:space="preserve">Pls. pick-up materials for a Cancelled Lease Rick Moody Lease#176082
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101"/>
  <sheetViews>
    <sheetView topLeftCell="A82" workbookViewId="0">
      <selection activeCell="F101" sqref="F101"/>
    </sheetView>
  </sheetViews>
  <sheetFormatPr defaultRowHeight="12.75"/>
  <cols>
    <col min="1" max="1" width="11.42578125" style="4" bestFit="1" customWidth="1"/>
    <col min="2" max="2" width="11.28515625" style="4" bestFit="1" customWidth="1"/>
    <col min="3" max="3" width="10.140625" style="4" bestFit="1" customWidth="1"/>
    <col min="4" max="4" width="7.85546875" style="4" bestFit="1" customWidth="1"/>
    <col min="5" max="5" width="7.85546875" style="4" customWidth="1"/>
    <col min="6" max="6" width="14.42578125" style="4" bestFit="1" customWidth="1"/>
    <col min="7" max="7" width="4" style="4" bestFit="1" customWidth="1"/>
    <col min="8" max="16384" width="9.140625" style="4"/>
  </cols>
  <sheetData>
    <row r="1" spans="1:7">
      <c r="A1" s="4" t="s">
        <v>5021</v>
      </c>
      <c r="B1" s="4" t="s">
        <v>5022</v>
      </c>
      <c r="C1" s="4" t="s">
        <v>64</v>
      </c>
      <c r="D1" s="4" t="s">
        <v>5023</v>
      </c>
      <c r="E1" s="4" t="s">
        <v>5062</v>
      </c>
      <c r="F1" s="4" t="s">
        <v>5024</v>
      </c>
    </row>
    <row r="2" spans="1:7">
      <c r="A2" s="30" t="str">
        <f>IF(POR_TEMPLATE!B34="","",POR_TEMPLATE!B34)</f>
        <v/>
      </c>
      <c r="B2" s="30">
        <f>IF(POR_TEMPLATE!D34="","",POR_TEMPLATE!D34)</f>
        <v>502177</v>
      </c>
      <c r="C2" s="30" t="str">
        <f>IF(POR_TEMPLATE!G34="","",POR_TEMPLATE!G34)</f>
        <v>PVM, SPR-327NE-WHT-D AR-S</v>
      </c>
      <c r="D2" s="30">
        <f>IF(POR_TEMPLATE!N34="","",POR_TEMPLATE!N34)</f>
        <v>8</v>
      </c>
      <c r="E2" s="30" t="str">
        <f>IF(POR_TEMPLATE!Q34="","",POR_TEMPLATE!Q34)</f>
        <v>EA</v>
      </c>
      <c r="F2" s="30" t="str">
        <f>IF(POR_TEMPLATE!S34="","",POR_TEMPLATE!S34)</f>
        <v/>
      </c>
      <c r="G2" s="4">
        <v>1</v>
      </c>
    </row>
    <row r="3" spans="1:7">
      <c r="A3" s="30" t="str">
        <f>IF(POR_TEMPLATE!B35="","",POR_TEMPLATE!B35)</f>
        <v/>
      </c>
      <c r="B3" s="30">
        <f>IF(POR_TEMPLATE!D35="","",POR_TEMPLATE!D35)</f>
        <v>502181</v>
      </c>
      <c r="C3" s="30" t="str">
        <f>IF(POR_TEMPLATE!G35="","",POR_TEMPLATE!G35)</f>
        <v>PVM, SPR-327NE-WHT-D AR-S SH</v>
      </c>
      <c r="D3" s="30">
        <f>IF(POR_TEMPLATE!N35="","",POR_TEMPLATE!N35)</f>
        <v>5</v>
      </c>
      <c r="E3" s="30" t="str">
        <f>IF(POR_TEMPLATE!Q35="","",POR_TEMPLATE!Q35)</f>
        <v>EA</v>
      </c>
      <c r="F3" s="30" t="str">
        <f>IF(POR_TEMPLATE!S35="","",POR_TEMPLATE!S35)</f>
        <v/>
      </c>
      <c r="G3" s="4">
        <v>2</v>
      </c>
    </row>
    <row r="4" spans="1:7">
      <c r="A4" s="30" t="str">
        <f>IF(POR_TEMPLATE!B36="","",POR_TEMPLATE!B36)</f>
        <v/>
      </c>
      <c r="B4" s="30">
        <f>IF(POR_TEMPLATE!D36="","",POR_TEMPLATE!D36)</f>
        <v>135780</v>
      </c>
      <c r="C4" s="30" t="str">
        <f>IF(POR_TEMPLATE!G36="","",POR_TEMPLATE!G36)</f>
        <v>KIT, MOUNTING ITEM, SOLARMOUNT, SPR-SM-4 SM, DARK, 132”</v>
      </c>
      <c r="D4" s="30">
        <f>IF(POR_TEMPLATE!N36="","",POR_TEMPLATE!N36)</f>
        <v>5</v>
      </c>
      <c r="E4" s="30" t="str">
        <f>IF(POR_TEMPLATE!Q36="","",POR_TEMPLATE!Q36)</f>
        <v>EA</v>
      </c>
      <c r="F4" s="30" t="str">
        <f>IF(POR_TEMPLATE!S36="","",POR_TEMPLATE!S36)</f>
        <v/>
      </c>
      <c r="G4" s="4">
        <v>3</v>
      </c>
    </row>
    <row r="5" spans="1:7">
      <c r="A5" s="30" t="str">
        <f>IF(POR_TEMPLATE!B37="","",POR_TEMPLATE!B37)</f>
        <v/>
      </c>
      <c r="B5" s="30">
        <f>IF(POR_TEMPLATE!D37="","",POR_TEMPLATE!D37)</f>
        <v>500323</v>
      </c>
      <c r="C5" s="30" t="str">
        <f>IF(POR_TEMPLATE!G37="","",POR_TEMPLATE!G37)</f>
        <v>INVERTER, SPR-4200p-TL-1, RS485, 10-YEAR WARRANTY</v>
      </c>
      <c r="D5" s="30">
        <f>IF(POR_TEMPLATE!N37="","",POR_TEMPLATE!N37)</f>
        <v>1</v>
      </c>
      <c r="E5" s="30" t="str">
        <f>IF(POR_TEMPLATE!Q37="","",POR_TEMPLATE!Q37)</f>
        <v>EA</v>
      </c>
      <c r="F5" s="30" t="str">
        <f>IF(POR_TEMPLATE!S37="","",POR_TEMPLATE!S37)</f>
        <v/>
      </c>
      <c r="G5" s="4">
        <v>4</v>
      </c>
    </row>
    <row r="6" spans="1:7">
      <c r="A6" s="30" t="str">
        <f>IF(POR_TEMPLATE!B38="","",POR_TEMPLATE!B38)</f>
        <v/>
      </c>
      <c r="B6" s="30">
        <f>IF(POR_TEMPLATE!D38="","",POR_TEMPLATE!D38)</f>
        <v>126548</v>
      </c>
      <c r="C6" s="30" t="str">
        <f>IF(POR_TEMPLATE!G38="","",POR_TEMPLATE!G38)</f>
        <v>MONITORING ITEM, SP-ACC-STD, RESIDENTIAL INSTALL KIT, SMS</v>
      </c>
      <c r="D6" s="30">
        <f>IF(POR_TEMPLATE!N38="","",POR_TEMPLATE!N38)</f>
        <v>1</v>
      </c>
      <c r="E6" s="30" t="str">
        <f>IF(POR_TEMPLATE!Q38="","",POR_TEMPLATE!Q38)</f>
        <v>EA</v>
      </c>
      <c r="F6" s="30" t="str">
        <f>IF(POR_TEMPLATE!S38="","",POR_TEMPLATE!S38)</f>
        <v/>
      </c>
      <c r="G6" s="4">
        <v>5</v>
      </c>
    </row>
    <row r="7" spans="1:7">
      <c r="A7" s="30" t="str">
        <f>IF(POR_TEMPLATE!B39="","",POR_TEMPLATE!B39)</f>
        <v/>
      </c>
      <c r="B7" s="30">
        <f>IF(POR_TEMPLATE!D39="","",POR_TEMPLATE!D39)</f>
        <v>126446</v>
      </c>
      <c r="C7" s="30" t="str">
        <f>IF(POR_TEMPLATE!G39="","",POR_TEMPLATE!G39)</f>
        <v>MONITORING ITEM, SP-ACC-SPRm, 10' RS485 COMM CABLE ACCESSORY KIT, SMS</v>
      </c>
      <c r="D7" s="30">
        <f>IF(POR_TEMPLATE!N39="","",POR_TEMPLATE!N39)</f>
        <v>1</v>
      </c>
      <c r="E7" s="30" t="str">
        <f>IF(POR_TEMPLATE!Q39="","",POR_TEMPLATE!Q39)</f>
        <v>EA</v>
      </c>
      <c r="F7" s="30" t="str">
        <f>IF(POR_TEMPLATE!S39="","",POR_TEMPLATE!S39)</f>
        <v/>
      </c>
      <c r="G7" s="4">
        <v>6</v>
      </c>
    </row>
    <row r="8" spans="1:7">
      <c r="A8" s="30" t="str">
        <f>IF(POR_TEMPLATE!B40="","",POR_TEMPLATE!B40)</f>
        <v/>
      </c>
      <c r="B8" s="30" t="str">
        <f>IF(POR_TEMPLATE!D40="","",POR_TEMPLATE!D40)</f>
        <v/>
      </c>
      <c r="C8" s="30" t="str">
        <f>IF(POR_TEMPLATE!G40="","",POR_TEMPLATE!G40)</f>
        <v/>
      </c>
      <c r="D8" s="30" t="str">
        <f>IF(POR_TEMPLATE!N40="","",POR_TEMPLATE!N40)</f>
        <v/>
      </c>
      <c r="E8" s="30" t="str">
        <f>IF(POR_TEMPLATE!Q40="","",POR_TEMPLATE!Q40)</f>
        <v/>
      </c>
      <c r="F8" s="30" t="str">
        <f>IF(POR_TEMPLATE!S40="","",POR_TEMPLATE!S40)</f>
        <v/>
      </c>
      <c r="G8" s="4">
        <v>7</v>
      </c>
    </row>
    <row r="9" spans="1:7">
      <c r="A9" s="30" t="str">
        <f>IF(POR_TEMPLATE!B41="","",POR_TEMPLATE!B41)</f>
        <v/>
      </c>
      <c r="B9" s="30" t="str">
        <f>IF(POR_TEMPLATE!D41="","",POR_TEMPLATE!D41)</f>
        <v/>
      </c>
      <c r="C9" s="30" t="str">
        <f>IF(POR_TEMPLATE!G41="","",POR_TEMPLATE!G41)</f>
        <v/>
      </c>
      <c r="D9" s="30" t="str">
        <f>IF(POR_TEMPLATE!N41="","",POR_TEMPLATE!N41)</f>
        <v/>
      </c>
      <c r="E9" s="30" t="str">
        <f>IF(POR_TEMPLATE!Q41="","",POR_TEMPLATE!Q41)</f>
        <v/>
      </c>
      <c r="F9" s="30" t="str">
        <f>IF(POR_TEMPLATE!S41="","",POR_TEMPLATE!S41)</f>
        <v/>
      </c>
      <c r="G9" s="4">
        <v>8</v>
      </c>
    </row>
    <row r="10" spans="1:7">
      <c r="A10" s="30" t="str">
        <f>IF(POR_TEMPLATE!B42="","",POR_TEMPLATE!B42)</f>
        <v/>
      </c>
      <c r="B10" s="30" t="str">
        <f>IF(POR_TEMPLATE!D42="","",POR_TEMPLATE!D42)</f>
        <v/>
      </c>
      <c r="C10" s="30" t="str">
        <f>IF(POR_TEMPLATE!G42="","",POR_TEMPLATE!G42)</f>
        <v/>
      </c>
      <c r="D10" s="30" t="str">
        <f>IF(POR_TEMPLATE!N42="","",POR_TEMPLATE!N42)</f>
        <v/>
      </c>
      <c r="E10" s="30" t="str">
        <f>IF(POR_TEMPLATE!Q42="","",POR_TEMPLATE!Q42)</f>
        <v/>
      </c>
      <c r="F10" s="30" t="str">
        <f>IF(POR_TEMPLATE!S42="","",POR_TEMPLATE!S42)</f>
        <v/>
      </c>
      <c r="G10" s="4">
        <v>9</v>
      </c>
    </row>
    <row r="11" spans="1:7">
      <c r="A11" s="30" t="str">
        <f>IF(POR_TEMPLATE!B43="","",POR_TEMPLATE!B43)</f>
        <v/>
      </c>
      <c r="B11" s="30" t="str">
        <f>IF(POR_TEMPLATE!D43="","",POR_TEMPLATE!D43)</f>
        <v/>
      </c>
      <c r="C11" s="30" t="str">
        <f>IF(POR_TEMPLATE!G43="","",POR_TEMPLATE!G43)</f>
        <v/>
      </c>
      <c r="D11" s="30" t="str">
        <f>IF(POR_TEMPLATE!N43="","",POR_TEMPLATE!N43)</f>
        <v/>
      </c>
      <c r="E11" s="30" t="str">
        <f>IF(POR_TEMPLATE!Q43="","",POR_TEMPLATE!Q43)</f>
        <v/>
      </c>
      <c r="F11" s="30" t="str">
        <f>IF(POR_TEMPLATE!S43="","",POR_TEMPLATE!S43)</f>
        <v/>
      </c>
      <c r="G11" s="4">
        <v>10</v>
      </c>
    </row>
    <row r="12" spans="1:7">
      <c r="A12" s="30" t="str">
        <f>IF(POR_TEMPLATE!B44="","",POR_TEMPLATE!B44)</f>
        <v/>
      </c>
      <c r="B12" s="30" t="str">
        <f>IF(POR_TEMPLATE!D44="","",POR_TEMPLATE!D44)</f>
        <v/>
      </c>
      <c r="C12" s="30" t="str">
        <f>IF(POR_TEMPLATE!G44="","",POR_TEMPLATE!G44)</f>
        <v/>
      </c>
      <c r="D12" s="30" t="str">
        <f>IF(POR_TEMPLATE!N44="","",POR_TEMPLATE!N44)</f>
        <v/>
      </c>
      <c r="E12" s="30" t="str">
        <f>IF(POR_TEMPLATE!Q44="","",POR_TEMPLATE!Q44)</f>
        <v/>
      </c>
      <c r="F12" s="30" t="str">
        <f>IF(POR_TEMPLATE!S44="","",POR_TEMPLATE!S44)</f>
        <v/>
      </c>
      <c r="G12" s="4">
        <v>11</v>
      </c>
    </row>
    <row r="13" spans="1:7">
      <c r="A13" s="30" t="str">
        <f>IF(POR_TEMPLATE!B45="","",POR_TEMPLATE!B45)</f>
        <v/>
      </c>
      <c r="B13" s="30" t="str">
        <f>IF(POR_TEMPLATE!D45="","",POR_TEMPLATE!D45)</f>
        <v/>
      </c>
      <c r="C13" s="30" t="str">
        <f>IF(POR_TEMPLATE!G45="","",POR_TEMPLATE!G45)</f>
        <v/>
      </c>
      <c r="D13" s="30" t="str">
        <f>IF(POR_TEMPLATE!N45="","",POR_TEMPLATE!N45)</f>
        <v/>
      </c>
      <c r="E13" s="30" t="str">
        <f>IF(POR_TEMPLATE!Q45="","",POR_TEMPLATE!Q45)</f>
        <v/>
      </c>
      <c r="F13" s="30" t="str">
        <f>IF(POR_TEMPLATE!S45="","",POR_TEMPLATE!S45)</f>
        <v/>
      </c>
      <c r="G13" s="4">
        <v>12</v>
      </c>
    </row>
    <row r="14" spans="1:7">
      <c r="A14" s="30" t="str">
        <f>IF(POR_TEMPLATE!B46="","",POR_TEMPLATE!B46)</f>
        <v/>
      </c>
      <c r="B14" s="30" t="str">
        <f>IF(POR_TEMPLATE!D46="","",POR_TEMPLATE!D46)</f>
        <v/>
      </c>
      <c r="C14" s="30" t="str">
        <f>IF(POR_TEMPLATE!G46="","",POR_TEMPLATE!G46)</f>
        <v/>
      </c>
      <c r="D14" s="30" t="str">
        <f>IF(POR_TEMPLATE!N46="","",POR_TEMPLATE!N46)</f>
        <v/>
      </c>
      <c r="E14" s="30" t="str">
        <f>IF(POR_TEMPLATE!Q46="","",POR_TEMPLATE!Q46)</f>
        <v/>
      </c>
      <c r="F14" s="30" t="str">
        <f>IF(POR_TEMPLATE!S46="","",POR_TEMPLATE!S46)</f>
        <v/>
      </c>
      <c r="G14" s="4">
        <v>13</v>
      </c>
    </row>
    <row r="15" spans="1:7">
      <c r="A15" s="30" t="str">
        <f>IF(POR_TEMPLATE!B47="","",POR_TEMPLATE!B47)</f>
        <v/>
      </c>
      <c r="B15" s="30" t="str">
        <f>IF(POR_TEMPLATE!D47="","",POR_TEMPLATE!D47)</f>
        <v/>
      </c>
      <c r="C15" s="30" t="str">
        <f>IF(POR_TEMPLATE!G47="","",POR_TEMPLATE!G47)</f>
        <v/>
      </c>
      <c r="D15" s="30" t="str">
        <f>IF(POR_TEMPLATE!N47="","",POR_TEMPLATE!N47)</f>
        <v/>
      </c>
      <c r="E15" s="30" t="str">
        <f>IF(POR_TEMPLATE!Q47="","",POR_TEMPLATE!Q47)</f>
        <v/>
      </c>
      <c r="F15" s="30" t="str">
        <f>IF(POR_TEMPLATE!S47="","",POR_TEMPLATE!S47)</f>
        <v/>
      </c>
      <c r="G15" s="4">
        <v>14</v>
      </c>
    </row>
    <row r="16" spans="1:7">
      <c r="A16" s="30" t="str">
        <f>IF(POR_TEMPLATE!B48="","",POR_TEMPLATE!B48)</f>
        <v/>
      </c>
      <c r="B16" s="30" t="str">
        <f>IF(POR_TEMPLATE!D48="","",POR_TEMPLATE!D48)</f>
        <v/>
      </c>
      <c r="C16" s="30" t="str">
        <f>IF(POR_TEMPLATE!G48="","",POR_TEMPLATE!G48)</f>
        <v/>
      </c>
      <c r="D16" s="30" t="str">
        <f>IF(POR_TEMPLATE!N48="","",POR_TEMPLATE!N48)</f>
        <v/>
      </c>
      <c r="E16" s="30" t="str">
        <f>IF(POR_TEMPLATE!Q48="","",POR_TEMPLATE!Q48)</f>
        <v/>
      </c>
      <c r="F16" s="30" t="str">
        <f>IF(POR_TEMPLATE!S48="","",POR_TEMPLATE!S48)</f>
        <v/>
      </c>
      <c r="G16" s="4">
        <v>15</v>
      </c>
    </row>
    <row r="17" spans="1:7">
      <c r="A17" s="30" t="str">
        <f>IF(POR_TEMPLATE!B49="","",POR_TEMPLATE!B49)</f>
        <v/>
      </c>
      <c r="B17" s="30" t="str">
        <f>IF(POR_TEMPLATE!D49="","",POR_TEMPLATE!D49)</f>
        <v/>
      </c>
      <c r="C17" s="30" t="str">
        <f>IF(POR_TEMPLATE!G49="","",POR_TEMPLATE!G49)</f>
        <v/>
      </c>
      <c r="D17" s="30" t="str">
        <f>IF(POR_TEMPLATE!N49="","",POR_TEMPLATE!N49)</f>
        <v/>
      </c>
      <c r="E17" s="30" t="str">
        <f>IF(POR_TEMPLATE!Q49="","",POR_TEMPLATE!Q49)</f>
        <v/>
      </c>
      <c r="F17" s="30" t="str">
        <f>IF(POR_TEMPLATE!S49="","",POR_TEMPLATE!S49)</f>
        <v/>
      </c>
      <c r="G17" s="4">
        <v>16</v>
      </c>
    </row>
    <row r="18" spans="1:7">
      <c r="A18" s="30" t="str">
        <f>IF(POR_TEMPLATE!B50="","",POR_TEMPLATE!B50)</f>
        <v/>
      </c>
      <c r="B18" s="30" t="str">
        <f>IF(POR_TEMPLATE!D50="","",POR_TEMPLATE!D50)</f>
        <v/>
      </c>
      <c r="C18" s="30" t="str">
        <f>IF(POR_TEMPLATE!G50="","",POR_TEMPLATE!G50)</f>
        <v/>
      </c>
      <c r="D18" s="30" t="str">
        <f>IF(POR_TEMPLATE!N50="","",POR_TEMPLATE!N50)</f>
        <v/>
      </c>
      <c r="E18" s="30" t="str">
        <f>IF(POR_TEMPLATE!Q50="","",POR_TEMPLATE!Q50)</f>
        <v/>
      </c>
      <c r="F18" s="30" t="str">
        <f>IF(POR_TEMPLATE!S50="","",POR_TEMPLATE!S50)</f>
        <v/>
      </c>
      <c r="G18" s="4">
        <v>17</v>
      </c>
    </row>
    <row r="19" spans="1:7">
      <c r="A19" s="30" t="str">
        <f>IF(POR_TEMPLATE!B51="","",POR_TEMPLATE!B51)</f>
        <v/>
      </c>
      <c r="B19" s="30" t="str">
        <f>IF(POR_TEMPLATE!D51="","",POR_TEMPLATE!D51)</f>
        <v/>
      </c>
      <c r="C19" s="30" t="str">
        <f>IF(POR_TEMPLATE!G51="","",POR_TEMPLATE!G51)</f>
        <v/>
      </c>
      <c r="D19" s="30" t="str">
        <f>IF(POR_TEMPLATE!N51="","",POR_TEMPLATE!N51)</f>
        <v/>
      </c>
      <c r="E19" s="30" t="str">
        <f>IF(POR_TEMPLATE!Q51="","",POR_TEMPLATE!Q51)</f>
        <v/>
      </c>
      <c r="F19" s="30" t="str">
        <f>IF(POR_TEMPLATE!S51="","",POR_TEMPLATE!S51)</f>
        <v/>
      </c>
      <c r="G19" s="4">
        <v>18</v>
      </c>
    </row>
    <row r="20" spans="1:7">
      <c r="A20" s="30" t="str">
        <f>IF(POR_TEMPLATE!B52="","",POR_TEMPLATE!B52)</f>
        <v/>
      </c>
      <c r="B20" s="30" t="str">
        <f>IF(POR_TEMPLATE!D52="","",POR_TEMPLATE!D52)</f>
        <v/>
      </c>
      <c r="C20" s="30" t="str">
        <f>IF(POR_TEMPLATE!G52="","",POR_TEMPLATE!G52)</f>
        <v/>
      </c>
      <c r="D20" s="30" t="str">
        <f>IF(POR_TEMPLATE!N52="","",POR_TEMPLATE!N52)</f>
        <v/>
      </c>
      <c r="E20" s="30" t="str">
        <f>IF(POR_TEMPLATE!Q52="","",POR_TEMPLATE!Q52)</f>
        <v/>
      </c>
      <c r="F20" s="30" t="str">
        <f>IF(POR_TEMPLATE!S52="","",POR_TEMPLATE!S52)</f>
        <v/>
      </c>
      <c r="G20" s="4">
        <v>19</v>
      </c>
    </row>
    <row r="21" spans="1:7">
      <c r="A21" s="30" t="str">
        <f>IF(POR_TEMPLATE!B53="","",POR_TEMPLATE!B53)</f>
        <v/>
      </c>
      <c r="B21" s="30" t="str">
        <f>IF(POR_TEMPLATE!D53="","",POR_TEMPLATE!D53)</f>
        <v/>
      </c>
      <c r="C21" s="30" t="str">
        <f>IF(POR_TEMPLATE!G53="","",POR_TEMPLATE!G53)</f>
        <v/>
      </c>
      <c r="D21" s="30" t="str">
        <f>IF(POR_TEMPLATE!N53="","",POR_TEMPLATE!N53)</f>
        <v/>
      </c>
      <c r="E21" s="30" t="str">
        <f>IF(POR_TEMPLATE!Q53="","",POR_TEMPLATE!Q53)</f>
        <v/>
      </c>
      <c r="F21" s="30" t="str">
        <f>IF(POR_TEMPLATE!S53="","",POR_TEMPLATE!S53)</f>
        <v/>
      </c>
      <c r="G21" s="4">
        <v>20</v>
      </c>
    </row>
    <row r="22" spans="1:7">
      <c r="A22" s="30" t="str">
        <f>IF(POR_TEMPLATE!B54="","",POR_TEMPLATE!B54)</f>
        <v/>
      </c>
      <c r="B22" s="30" t="str">
        <f>IF(POR_TEMPLATE!D54="","",POR_TEMPLATE!D54)</f>
        <v/>
      </c>
      <c r="C22" s="30" t="str">
        <f>IF(POR_TEMPLATE!G54="","",POR_TEMPLATE!G54)</f>
        <v/>
      </c>
      <c r="D22" s="30" t="str">
        <f>IF(POR_TEMPLATE!N54="","",POR_TEMPLATE!N54)</f>
        <v/>
      </c>
      <c r="E22" s="30" t="str">
        <f>IF(POR_TEMPLATE!Q54="","",POR_TEMPLATE!Q54)</f>
        <v/>
      </c>
      <c r="F22" s="30" t="str">
        <f>IF(POR_TEMPLATE!S54="","",POR_TEMPLATE!S54)</f>
        <v/>
      </c>
      <c r="G22" s="4">
        <v>21</v>
      </c>
    </row>
    <row r="23" spans="1:7">
      <c r="A23" s="30" t="str">
        <f>IF(POR_TEMPLATE!B55="","",POR_TEMPLATE!B55)</f>
        <v/>
      </c>
      <c r="B23" s="30" t="str">
        <f>IF(POR_TEMPLATE!D55="","",POR_TEMPLATE!D55)</f>
        <v/>
      </c>
      <c r="C23" s="30" t="str">
        <f>IF(POR_TEMPLATE!G55="","",POR_TEMPLATE!G55)</f>
        <v/>
      </c>
      <c r="D23" s="30" t="str">
        <f>IF(POR_TEMPLATE!N55="","",POR_TEMPLATE!N55)</f>
        <v/>
      </c>
      <c r="E23" s="30" t="str">
        <f>IF(POR_TEMPLATE!Q55="","",POR_TEMPLATE!Q55)</f>
        <v/>
      </c>
      <c r="F23" s="30" t="str">
        <f>IF(POR_TEMPLATE!S55="","",POR_TEMPLATE!S55)</f>
        <v/>
      </c>
      <c r="G23" s="4">
        <v>22</v>
      </c>
    </row>
    <row r="24" spans="1:7">
      <c r="A24" s="30" t="str">
        <f>IF(POR_TEMPLATE!B56="","",POR_TEMPLATE!B56)</f>
        <v/>
      </c>
      <c r="B24" s="30" t="str">
        <f>IF(POR_TEMPLATE!D56="","",POR_TEMPLATE!D56)</f>
        <v/>
      </c>
      <c r="C24" s="30" t="str">
        <f>IF(POR_TEMPLATE!G56="","",POR_TEMPLATE!G56)</f>
        <v/>
      </c>
      <c r="D24" s="30" t="str">
        <f>IF(POR_TEMPLATE!N56="","",POR_TEMPLATE!N56)</f>
        <v/>
      </c>
      <c r="E24" s="30" t="str">
        <f>IF(POR_TEMPLATE!Q56="","",POR_TEMPLATE!Q56)</f>
        <v/>
      </c>
      <c r="F24" s="30" t="str">
        <f>IF(POR_TEMPLATE!S56="","",POR_TEMPLATE!S56)</f>
        <v/>
      </c>
      <c r="G24" s="4">
        <v>23</v>
      </c>
    </row>
    <row r="25" spans="1:7">
      <c r="A25" s="30" t="str">
        <f>IF(POR_TEMPLATE!B57="","",POR_TEMPLATE!B57)</f>
        <v/>
      </c>
      <c r="B25" s="30" t="str">
        <f>IF(POR_TEMPLATE!D57="","",POR_TEMPLATE!D57)</f>
        <v/>
      </c>
      <c r="C25" s="30" t="str">
        <f>IF(POR_TEMPLATE!G57="","",POR_TEMPLATE!G57)</f>
        <v/>
      </c>
      <c r="D25" s="30" t="str">
        <f>IF(POR_TEMPLATE!N57="","",POR_TEMPLATE!N57)</f>
        <v/>
      </c>
      <c r="E25" s="30" t="str">
        <f>IF(POR_TEMPLATE!Q57="","",POR_TEMPLATE!Q57)</f>
        <v/>
      </c>
      <c r="F25" s="30" t="str">
        <f>IF(POR_TEMPLATE!S57="","",POR_TEMPLATE!S57)</f>
        <v/>
      </c>
      <c r="G25" s="4">
        <v>24</v>
      </c>
    </row>
    <row r="26" spans="1:7">
      <c r="A26" s="30" t="str">
        <f>IF(POR_TEMPLATE!B58="","",POR_TEMPLATE!B58)</f>
        <v/>
      </c>
      <c r="B26" s="30" t="str">
        <f>IF(POR_TEMPLATE!D58="","",POR_TEMPLATE!D58)</f>
        <v/>
      </c>
      <c r="C26" s="30" t="str">
        <f>IF(POR_TEMPLATE!G58="","",POR_TEMPLATE!G58)</f>
        <v/>
      </c>
      <c r="D26" s="30" t="str">
        <f>IF(POR_TEMPLATE!N58="","",POR_TEMPLATE!N58)</f>
        <v/>
      </c>
      <c r="E26" s="30" t="str">
        <f>IF(POR_TEMPLATE!Q58="","",POR_TEMPLATE!Q58)</f>
        <v/>
      </c>
      <c r="F26" s="30" t="str">
        <f>IF(POR_TEMPLATE!S58="","",POR_TEMPLATE!S58)</f>
        <v/>
      </c>
      <c r="G26" s="4">
        <v>25</v>
      </c>
    </row>
    <row r="27" spans="1:7">
      <c r="A27" s="30" t="str">
        <f>IF(POR_TEMPLATE!B59="","",POR_TEMPLATE!B59)</f>
        <v/>
      </c>
      <c r="B27" s="30" t="str">
        <f>IF(POR_TEMPLATE!D59="","",POR_TEMPLATE!D59)</f>
        <v/>
      </c>
      <c r="C27" s="30" t="str">
        <f>IF(POR_TEMPLATE!G59="","",POR_TEMPLATE!G59)</f>
        <v/>
      </c>
      <c r="D27" s="30" t="str">
        <f>IF(POR_TEMPLATE!N59="","",POR_TEMPLATE!N59)</f>
        <v/>
      </c>
      <c r="E27" s="30" t="str">
        <f>IF(POR_TEMPLATE!Q59="","",POR_TEMPLATE!Q59)</f>
        <v/>
      </c>
      <c r="F27" s="30" t="str">
        <f>IF(POR_TEMPLATE!S59="","",POR_TEMPLATE!S59)</f>
        <v/>
      </c>
      <c r="G27" s="4">
        <v>26</v>
      </c>
    </row>
    <row r="28" spans="1:7">
      <c r="A28" s="30" t="str">
        <f>IF(POR_TEMPLATE!B60="","",POR_TEMPLATE!B60)</f>
        <v/>
      </c>
      <c r="B28" s="30" t="str">
        <f>IF(POR_TEMPLATE!D60="","",POR_TEMPLATE!D60)</f>
        <v/>
      </c>
      <c r="C28" s="30" t="str">
        <f>IF(POR_TEMPLATE!G60="","",POR_TEMPLATE!G60)</f>
        <v/>
      </c>
      <c r="D28" s="30" t="str">
        <f>IF(POR_TEMPLATE!N60="","",POR_TEMPLATE!N60)</f>
        <v/>
      </c>
      <c r="E28" s="30" t="str">
        <f>IF(POR_TEMPLATE!Q60="","",POR_TEMPLATE!Q60)</f>
        <v/>
      </c>
      <c r="F28" s="30" t="str">
        <f>IF(POR_TEMPLATE!S60="","",POR_TEMPLATE!S60)</f>
        <v/>
      </c>
      <c r="G28" s="4">
        <v>27</v>
      </c>
    </row>
    <row r="29" spans="1:7">
      <c r="A29" s="30" t="str">
        <f>IF(POR_TEMPLATE!B61="","",POR_TEMPLATE!B61)</f>
        <v/>
      </c>
      <c r="B29" s="30" t="str">
        <f>IF(POR_TEMPLATE!D61="","",POR_TEMPLATE!D61)</f>
        <v/>
      </c>
      <c r="C29" s="30" t="str">
        <f>IF(POR_TEMPLATE!G61="","",POR_TEMPLATE!G61)</f>
        <v/>
      </c>
      <c r="D29" s="30" t="str">
        <f>IF(POR_TEMPLATE!N61="","",POR_TEMPLATE!N61)</f>
        <v/>
      </c>
      <c r="E29" s="30" t="str">
        <f>IF(POR_TEMPLATE!Q61="","",POR_TEMPLATE!Q61)</f>
        <v/>
      </c>
      <c r="F29" s="30" t="str">
        <f>IF(POR_TEMPLATE!S61="","",POR_TEMPLATE!S61)</f>
        <v/>
      </c>
      <c r="G29" s="4">
        <v>28</v>
      </c>
    </row>
    <row r="30" spans="1:7">
      <c r="A30" s="30" t="str">
        <f>IF(POR_TEMPLATE!B62="","",POR_TEMPLATE!B62)</f>
        <v/>
      </c>
      <c r="B30" s="30" t="str">
        <f>IF(POR_TEMPLATE!D62="","",POR_TEMPLATE!D62)</f>
        <v/>
      </c>
      <c r="C30" s="30" t="str">
        <f>IF(POR_TEMPLATE!G62="","",POR_TEMPLATE!G62)</f>
        <v/>
      </c>
      <c r="D30" s="30" t="str">
        <f>IF(POR_TEMPLATE!N62="","",POR_TEMPLATE!N62)</f>
        <v/>
      </c>
      <c r="E30" s="30" t="str">
        <f>IF(POR_TEMPLATE!Q62="","",POR_TEMPLATE!Q62)</f>
        <v/>
      </c>
      <c r="F30" s="30" t="str">
        <f>IF(POR_TEMPLATE!S62="","",POR_TEMPLATE!S62)</f>
        <v/>
      </c>
      <c r="G30" s="4">
        <v>29</v>
      </c>
    </row>
    <row r="31" spans="1:7">
      <c r="A31" s="30" t="str">
        <f>IF(POR_TEMPLATE!B63="","",POR_TEMPLATE!B63)</f>
        <v/>
      </c>
      <c r="B31" s="30" t="str">
        <f>IF(POR_TEMPLATE!D63="","",POR_TEMPLATE!D63)</f>
        <v/>
      </c>
      <c r="C31" s="30" t="str">
        <f>IF(POR_TEMPLATE!G63="","",POR_TEMPLATE!G63)</f>
        <v/>
      </c>
      <c r="D31" s="30" t="str">
        <f>IF(POR_TEMPLATE!N63="","",POR_TEMPLATE!N63)</f>
        <v/>
      </c>
      <c r="E31" s="30" t="str">
        <f>IF(POR_TEMPLATE!Q63="","",POR_TEMPLATE!Q63)</f>
        <v/>
      </c>
      <c r="F31" s="30" t="str">
        <f>IF(POR_TEMPLATE!S63="","",POR_TEMPLATE!S63)</f>
        <v/>
      </c>
      <c r="G31" s="4">
        <v>30</v>
      </c>
    </row>
    <row r="32" spans="1:7">
      <c r="A32" s="30" t="str">
        <f>IF(POR_TEMPLATE!B64="","",POR_TEMPLATE!B64)</f>
        <v/>
      </c>
      <c r="B32" s="30" t="str">
        <f>IF(POR_TEMPLATE!D64="","",POR_TEMPLATE!D64)</f>
        <v/>
      </c>
      <c r="C32" s="30" t="str">
        <f>IF(POR_TEMPLATE!G64="","",POR_TEMPLATE!G64)</f>
        <v/>
      </c>
      <c r="D32" s="30" t="str">
        <f>IF(POR_TEMPLATE!N64="","",POR_TEMPLATE!N64)</f>
        <v/>
      </c>
      <c r="E32" s="30" t="str">
        <f>IF(POR_TEMPLATE!Q64="","",POR_TEMPLATE!Q64)</f>
        <v/>
      </c>
      <c r="F32" s="30" t="str">
        <f>IF(POR_TEMPLATE!S64="","",POR_TEMPLATE!S64)</f>
        <v/>
      </c>
      <c r="G32" s="4">
        <v>31</v>
      </c>
    </row>
    <row r="33" spans="1:7">
      <c r="A33" s="30" t="str">
        <f>IF(POR_TEMPLATE!B65="","",POR_TEMPLATE!B65)</f>
        <v/>
      </c>
      <c r="B33" s="30" t="str">
        <f>IF(POR_TEMPLATE!D65="","",POR_TEMPLATE!D65)</f>
        <v/>
      </c>
      <c r="C33" s="30" t="str">
        <f>IF(POR_TEMPLATE!G65="","",POR_TEMPLATE!G65)</f>
        <v/>
      </c>
      <c r="D33" s="30" t="str">
        <f>IF(POR_TEMPLATE!N65="","",POR_TEMPLATE!N65)</f>
        <v/>
      </c>
      <c r="E33" s="30" t="str">
        <f>IF(POR_TEMPLATE!Q65="","",POR_TEMPLATE!Q65)</f>
        <v/>
      </c>
      <c r="F33" s="30" t="str">
        <f>IF(POR_TEMPLATE!S65="","",POR_TEMPLATE!S65)</f>
        <v/>
      </c>
      <c r="G33" s="4">
        <v>32</v>
      </c>
    </row>
    <row r="34" spans="1:7">
      <c r="A34" s="30" t="str">
        <f>IF(POR_TEMPLATE!B66="","",POR_TEMPLATE!B66)</f>
        <v/>
      </c>
      <c r="B34" s="30" t="str">
        <f>IF(POR_TEMPLATE!D66="","",POR_TEMPLATE!D66)</f>
        <v/>
      </c>
      <c r="C34" s="30" t="str">
        <f>IF(POR_TEMPLATE!G66="","",POR_TEMPLATE!G66)</f>
        <v/>
      </c>
      <c r="D34" s="30" t="str">
        <f>IF(POR_TEMPLATE!N66="","",POR_TEMPLATE!N66)</f>
        <v/>
      </c>
      <c r="E34" s="30" t="str">
        <f>IF(POR_TEMPLATE!Q66="","",POR_TEMPLATE!Q66)</f>
        <v/>
      </c>
      <c r="F34" s="30" t="str">
        <f>IF(POR_TEMPLATE!S66="","",POR_TEMPLATE!S66)</f>
        <v/>
      </c>
      <c r="G34" s="4">
        <v>33</v>
      </c>
    </row>
    <row r="35" spans="1:7">
      <c r="A35" s="30" t="str">
        <f>IF(POR_TEMPLATE!B67="","",POR_TEMPLATE!B67)</f>
        <v/>
      </c>
      <c r="B35" s="30" t="str">
        <f>IF(POR_TEMPLATE!D67="","",POR_TEMPLATE!D67)</f>
        <v/>
      </c>
      <c r="C35" s="30" t="str">
        <f>IF(POR_TEMPLATE!G67="","",POR_TEMPLATE!G67)</f>
        <v/>
      </c>
      <c r="D35" s="30" t="str">
        <f>IF(POR_TEMPLATE!N67="","",POR_TEMPLATE!N67)</f>
        <v/>
      </c>
      <c r="E35" s="30" t="str">
        <f>IF(POR_TEMPLATE!Q67="","",POR_TEMPLATE!Q67)</f>
        <v/>
      </c>
      <c r="F35" s="30" t="str">
        <f>IF(POR_TEMPLATE!S67="","",POR_TEMPLATE!S67)</f>
        <v/>
      </c>
      <c r="G35" s="4">
        <v>34</v>
      </c>
    </row>
    <row r="36" spans="1:7">
      <c r="A36" s="30" t="str">
        <f>IF(POR_TEMPLATE!B68="","",POR_TEMPLATE!B68)</f>
        <v/>
      </c>
      <c r="B36" s="30" t="str">
        <f>IF(POR_TEMPLATE!D68="","",POR_TEMPLATE!D68)</f>
        <v/>
      </c>
      <c r="C36" s="30" t="str">
        <f>IF(POR_TEMPLATE!G68="","",POR_TEMPLATE!G68)</f>
        <v/>
      </c>
      <c r="D36" s="30" t="str">
        <f>IF(POR_TEMPLATE!N68="","",POR_TEMPLATE!N68)</f>
        <v/>
      </c>
      <c r="E36" s="30" t="str">
        <f>IF(POR_TEMPLATE!Q68="","",POR_TEMPLATE!Q68)</f>
        <v/>
      </c>
      <c r="F36" s="30" t="str">
        <f>IF(POR_TEMPLATE!S68="","",POR_TEMPLATE!S68)</f>
        <v/>
      </c>
      <c r="G36" s="4">
        <v>35</v>
      </c>
    </row>
    <row r="37" spans="1:7">
      <c r="A37" s="30" t="str">
        <f>IF(POR_TEMPLATE!B69="","",POR_TEMPLATE!B69)</f>
        <v/>
      </c>
      <c r="B37" s="30" t="str">
        <f>IF(POR_TEMPLATE!D69="","",POR_TEMPLATE!D69)</f>
        <v/>
      </c>
      <c r="C37" s="30" t="str">
        <f>IF(POR_TEMPLATE!G69="","",POR_TEMPLATE!G69)</f>
        <v/>
      </c>
      <c r="D37" s="30" t="str">
        <f>IF(POR_TEMPLATE!N69="","",POR_TEMPLATE!N69)</f>
        <v/>
      </c>
      <c r="E37" s="30" t="str">
        <f>IF(POR_TEMPLATE!Q69="","",POR_TEMPLATE!Q69)</f>
        <v/>
      </c>
      <c r="F37" s="30" t="str">
        <f>IF(POR_TEMPLATE!S69="","",POR_TEMPLATE!S69)</f>
        <v/>
      </c>
      <c r="G37" s="4">
        <v>36</v>
      </c>
    </row>
    <row r="38" spans="1:7">
      <c r="A38" s="30" t="str">
        <f>IF(POR_TEMPLATE!B70="","",POR_TEMPLATE!B70)</f>
        <v/>
      </c>
      <c r="B38" s="30" t="str">
        <f>IF(POR_TEMPLATE!D70="","",POR_TEMPLATE!D70)</f>
        <v/>
      </c>
      <c r="C38" s="30" t="str">
        <f>IF(POR_TEMPLATE!G70="","",POR_TEMPLATE!G70)</f>
        <v/>
      </c>
      <c r="D38" s="30" t="str">
        <f>IF(POR_TEMPLATE!N70="","",POR_TEMPLATE!N70)</f>
        <v/>
      </c>
      <c r="E38" s="30" t="str">
        <f>IF(POR_TEMPLATE!Q70="","",POR_TEMPLATE!Q70)</f>
        <v/>
      </c>
      <c r="F38" s="30" t="str">
        <f>IF(POR_TEMPLATE!S70="","",POR_TEMPLATE!S70)</f>
        <v/>
      </c>
      <c r="G38" s="4">
        <v>37</v>
      </c>
    </row>
    <row r="39" spans="1:7">
      <c r="A39" s="30" t="str">
        <f>IF(POR_TEMPLATE!B71="","",POR_TEMPLATE!B71)</f>
        <v/>
      </c>
      <c r="B39" s="30" t="str">
        <f>IF(POR_TEMPLATE!D71="","",POR_TEMPLATE!D71)</f>
        <v/>
      </c>
      <c r="C39" s="30" t="str">
        <f>IF(POR_TEMPLATE!G71="","",POR_TEMPLATE!G71)</f>
        <v/>
      </c>
      <c r="D39" s="30" t="str">
        <f>IF(POR_TEMPLATE!N71="","",POR_TEMPLATE!N71)</f>
        <v/>
      </c>
      <c r="E39" s="30" t="str">
        <f>IF(POR_TEMPLATE!Q71="","",POR_TEMPLATE!Q71)</f>
        <v/>
      </c>
      <c r="F39" s="30" t="str">
        <f>IF(POR_TEMPLATE!S71="","",POR_TEMPLATE!S71)</f>
        <v/>
      </c>
      <c r="G39" s="4">
        <v>38</v>
      </c>
    </row>
    <row r="40" spans="1:7">
      <c r="A40" s="30" t="str">
        <f>IF(POR_TEMPLATE!B72="","",POR_TEMPLATE!B72)</f>
        <v/>
      </c>
      <c r="B40" s="30" t="str">
        <f>IF(POR_TEMPLATE!D72="","",POR_TEMPLATE!D72)</f>
        <v/>
      </c>
      <c r="C40" s="30" t="str">
        <f>IF(POR_TEMPLATE!G72="","",POR_TEMPLATE!G72)</f>
        <v/>
      </c>
      <c r="D40" s="30" t="str">
        <f>IF(POR_TEMPLATE!N72="","",POR_TEMPLATE!N72)</f>
        <v/>
      </c>
      <c r="E40" s="30" t="str">
        <f>IF(POR_TEMPLATE!Q72="","",POR_TEMPLATE!Q72)</f>
        <v/>
      </c>
      <c r="F40" s="30" t="str">
        <f>IF(POR_TEMPLATE!S72="","",POR_TEMPLATE!S72)</f>
        <v/>
      </c>
      <c r="G40" s="4">
        <v>39</v>
      </c>
    </row>
    <row r="41" spans="1:7">
      <c r="A41" s="30" t="str">
        <f>IF(POR_TEMPLATE!B73="","",POR_TEMPLATE!B73)</f>
        <v/>
      </c>
      <c r="B41" s="30" t="str">
        <f>IF(POR_TEMPLATE!D73="","",POR_TEMPLATE!D73)</f>
        <v/>
      </c>
      <c r="C41" s="30" t="str">
        <f>IF(POR_TEMPLATE!G73="","",POR_TEMPLATE!G73)</f>
        <v/>
      </c>
      <c r="D41" s="30" t="str">
        <f>IF(POR_TEMPLATE!N73="","",POR_TEMPLATE!N73)</f>
        <v/>
      </c>
      <c r="E41" s="30" t="str">
        <f>IF(POR_TEMPLATE!Q73="","",POR_TEMPLATE!Q73)</f>
        <v/>
      </c>
      <c r="F41" s="30" t="str">
        <f>IF(POR_TEMPLATE!S73="","",POR_TEMPLATE!S73)</f>
        <v/>
      </c>
      <c r="G41" s="4">
        <v>40</v>
      </c>
    </row>
    <row r="42" spans="1:7">
      <c r="A42" s="30" t="str">
        <f>IF(POR_TEMPLATE!B74="","",POR_TEMPLATE!B74)</f>
        <v/>
      </c>
      <c r="B42" s="30" t="str">
        <f>IF(POR_TEMPLATE!D74="","",POR_TEMPLATE!D74)</f>
        <v/>
      </c>
      <c r="C42" s="30" t="str">
        <f>IF(POR_TEMPLATE!G74="","",POR_TEMPLATE!G74)</f>
        <v/>
      </c>
      <c r="D42" s="30" t="str">
        <f>IF(POR_TEMPLATE!N74="","",POR_TEMPLATE!N74)</f>
        <v/>
      </c>
      <c r="E42" s="30" t="str">
        <f>IF(POR_TEMPLATE!Q74="","",POR_TEMPLATE!Q74)</f>
        <v/>
      </c>
      <c r="F42" s="30" t="str">
        <f>IF(POR_TEMPLATE!S74="","",POR_TEMPLATE!S74)</f>
        <v/>
      </c>
      <c r="G42" s="4">
        <v>41</v>
      </c>
    </row>
    <row r="43" spans="1:7">
      <c r="A43" s="30" t="str">
        <f>IF(POR_TEMPLATE!B75="","",POR_TEMPLATE!B75)</f>
        <v/>
      </c>
      <c r="B43" s="30" t="str">
        <f>IF(POR_TEMPLATE!D75="","",POR_TEMPLATE!D75)</f>
        <v/>
      </c>
      <c r="C43" s="30" t="str">
        <f>IF(POR_TEMPLATE!G75="","",POR_TEMPLATE!G75)</f>
        <v/>
      </c>
      <c r="D43" s="30" t="str">
        <f>IF(POR_TEMPLATE!N75="","",POR_TEMPLATE!N75)</f>
        <v/>
      </c>
      <c r="E43" s="30" t="str">
        <f>IF(POR_TEMPLATE!Q75="","",POR_TEMPLATE!Q75)</f>
        <v/>
      </c>
      <c r="F43" s="30" t="str">
        <f>IF(POR_TEMPLATE!S75="","",POR_TEMPLATE!S75)</f>
        <v/>
      </c>
      <c r="G43" s="4">
        <v>42</v>
      </c>
    </row>
    <row r="44" spans="1:7">
      <c r="A44" s="30" t="str">
        <f>IF(POR_TEMPLATE!B76="","",POR_TEMPLATE!B76)</f>
        <v/>
      </c>
      <c r="B44" s="30" t="str">
        <f>IF(POR_TEMPLATE!D76="","",POR_TEMPLATE!D76)</f>
        <v/>
      </c>
      <c r="C44" s="30" t="str">
        <f>IF(POR_TEMPLATE!G76="","",POR_TEMPLATE!G76)</f>
        <v/>
      </c>
      <c r="D44" s="30" t="str">
        <f>IF(POR_TEMPLATE!N76="","",POR_TEMPLATE!N76)</f>
        <v/>
      </c>
      <c r="E44" s="30" t="str">
        <f>IF(POR_TEMPLATE!Q76="","",POR_TEMPLATE!Q76)</f>
        <v/>
      </c>
      <c r="F44" s="30" t="str">
        <f>IF(POR_TEMPLATE!S76="","",POR_TEMPLATE!S76)</f>
        <v/>
      </c>
      <c r="G44" s="4">
        <v>43</v>
      </c>
    </row>
    <row r="45" spans="1:7">
      <c r="A45" s="30" t="str">
        <f>IF(POR_TEMPLATE!B77="","",POR_TEMPLATE!B77)</f>
        <v/>
      </c>
      <c r="B45" s="30" t="str">
        <f>IF(POR_TEMPLATE!D77="","",POR_TEMPLATE!D77)</f>
        <v/>
      </c>
      <c r="C45" s="30" t="str">
        <f>IF(POR_TEMPLATE!G77="","",POR_TEMPLATE!G77)</f>
        <v/>
      </c>
      <c r="D45" s="30" t="str">
        <f>IF(POR_TEMPLATE!N77="","",POR_TEMPLATE!N77)</f>
        <v/>
      </c>
      <c r="E45" s="30" t="str">
        <f>IF(POR_TEMPLATE!Q77="","",POR_TEMPLATE!Q77)</f>
        <v/>
      </c>
      <c r="F45" s="30" t="str">
        <f>IF(POR_TEMPLATE!S77="","",POR_TEMPLATE!S77)</f>
        <v/>
      </c>
      <c r="G45" s="4">
        <v>44</v>
      </c>
    </row>
    <row r="46" spans="1:7">
      <c r="A46" s="30" t="str">
        <f>IF(POR_TEMPLATE!B78="","",POR_TEMPLATE!B78)</f>
        <v/>
      </c>
      <c r="B46" s="30" t="str">
        <f>IF(POR_TEMPLATE!D78="","",POR_TEMPLATE!D78)</f>
        <v/>
      </c>
      <c r="C46" s="30" t="str">
        <f>IF(POR_TEMPLATE!G78="","",POR_TEMPLATE!G78)</f>
        <v/>
      </c>
      <c r="D46" s="30" t="str">
        <f>IF(POR_TEMPLATE!N78="","",POR_TEMPLATE!N78)</f>
        <v/>
      </c>
      <c r="E46" s="30" t="str">
        <f>IF(POR_TEMPLATE!Q78="","",POR_TEMPLATE!Q78)</f>
        <v/>
      </c>
      <c r="F46" s="30" t="str">
        <f>IF(POR_TEMPLATE!S78="","",POR_TEMPLATE!S78)</f>
        <v/>
      </c>
      <c r="G46" s="4">
        <v>45</v>
      </c>
    </row>
    <row r="47" spans="1:7">
      <c r="A47" s="30" t="str">
        <f>IF(POR_TEMPLATE!B79="","",POR_TEMPLATE!B79)</f>
        <v/>
      </c>
      <c r="B47" s="30" t="str">
        <f>IF(POR_TEMPLATE!D79="","",POR_TEMPLATE!D79)</f>
        <v/>
      </c>
      <c r="C47" s="30" t="str">
        <f>IF(POR_TEMPLATE!G79="","",POR_TEMPLATE!G79)</f>
        <v/>
      </c>
      <c r="D47" s="30" t="str">
        <f>IF(POR_TEMPLATE!N79="","",POR_TEMPLATE!N79)</f>
        <v/>
      </c>
      <c r="E47" s="30" t="str">
        <f>IF(POR_TEMPLATE!Q79="","",POR_TEMPLATE!Q79)</f>
        <v/>
      </c>
      <c r="F47" s="30" t="str">
        <f>IF(POR_TEMPLATE!S79="","",POR_TEMPLATE!S79)</f>
        <v/>
      </c>
      <c r="G47" s="4">
        <v>46</v>
      </c>
    </row>
    <row r="48" spans="1:7">
      <c r="A48" s="30" t="str">
        <f>IF(POR_TEMPLATE!B80="","",POR_TEMPLATE!B80)</f>
        <v/>
      </c>
      <c r="B48" s="30" t="str">
        <f>IF(POR_TEMPLATE!D80="","",POR_TEMPLATE!D80)</f>
        <v/>
      </c>
      <c r="C48" s="30" t="str">
        <f>IF(POR_TEMPLATE!G80="","",POR_TEMPLATE!G80)</f>
        <v/>
      </c>
      <c r="D48" s="30" t="str">
        <f>IF(POR_TEMPLATE!N80="","",POR_TEMPLATE!N80)</f>
        <v/>
      </c>
      <c r="E48" s="30" t="str">
        <f>IF(POR_TEMPLATE!Q80="","",POR_TEMPLATE!Q80)</f>
        <v/>
      </c>
      <c r="F48" s="30" t="str">
        <f>IF(POR_TEMPLATE!S80="","",POR_TEMPLATE!S80)</f>
        <v/>
      </c>
      <c r="G48" s="4">
        <v>47</v>
      </c>
    </row>
    <row r="49" spans="1:7">
      <c r="A49" s="30" t="str">
        <f>IF(POR_TEMPLATE!B81="","",POR_TEMPLATE!B81)</f>
        <v/>
      </c>
      <c r="B49" s="30" t="str">
        <f>IF(POR_TEMPLATE!D81="","",POR_TEMPLATE!D81)</f>
        <v/>
      </c>
      <c r="C49" s="30" t="str">
        <f>IF(POR_TEMPLATE!G81="","",POR_TEMPLATE!G81)</f>
        <v/>
      </c>
      <c r="D49" s="30" t="str">
        <f>IF(POR_TEMPLATE!N81="","",POR_TEMPLATE!N81)</f>
        <v/>
      </c>
      <c r="E49" s="30" t="str">
        <f>IF(POR_TEMPLATE!Q81="","",POR_TEMPLATE!Q81)</f>
        <v/>
      </c>
      <c r="F49" s="30" t="str">
        <f>IF(POR_TEMPLATE!S81="","",POR_TEMPLATE!S81)</f>
        <v/>
      </c>
      <c r="G49" s="4">
        <v>48</v>
      </c>
    </row>
    <row r="50" spans="1:7">
      <c r="A50" s="30" t="str">
        <f>IF(POR_TEMPLATE!B82="","",POR_TEMPLATE!B82)</f>
        <v/>
      </c>
      <c r="B50" s="30" t="str">
        <f>IF(POR_TEMPLATE!D82="","",POR_TEMPLATE!D82)</f>
        <v/>
      </c>
      <c r="C50" s="30" t="str">
        <f>IF(POR_TEMPLATE!G82="","",POR_TEMPLATE!G82)</f>
        <v/>
      </c>
      <c r="D50" s="30" t="str">
        <f>IF(POR_TEMPLATE!N82="","",POR_TEMPLATE!N82)</f>
        <v/>
      </c>
      <c r="E50" s="30" t="str">
        <f>IF(POR_TEMPLATE!Q82="","",POR_TEMPLATE!Q82)</f>
        <v/>
      </c>
      <c r="F50" s="30" t="str">
        <f>IF(POR_TEMPLATE!S82="","",POR_TEMPLATE!S82)</f>
        <v/>
      </c>
      <c r="G50" s="4">
        <v>49</v>
      </c>
    </row>
    <row r="51" spans="1:7">
      <c r="A51" s="30" t="str">
        <f>IF(POR_TEMPLATE!B83="","",POR_TEMPLATE!B83)</f>
        <v/>
      </c>
      <c r="B51" s="30" t="str">
        <f>IF(POR_TEMPLATE!D83="","",POR_TEMPLATE!D83)</f>
        <v/>
      </c>
      <c r="C51" s="30" t="str">
        <f>IF(POR_TEMPLATE!G83="","",POR_TEMPLATE!G83)</f>
        <v/>
      </c>
      <c r="D51" s="30" t="str">
        <f>IF(POR_TEMPLATE!N83="","",POR_TEMPLATE!N83)</f>
        <v/>
      </c>
      <c r="E51" s="30" t="str">
        <f>IF(POR_TEMPLATE!Q83="","",POR_TEMPLATE!Q83)</f>
        <v/>
      </c>
      <c r="F51" s="30" t="str">
        <f>IF(POR_TEMPLATE!S83="","",POR_TEMPLATE!S83)</f>
        <v/>
      </c>
      <c r="G51" s="4">
        <v>50</v>
      </c>
    </row>
    <row r="52" spans="1:7">
      <c r="A52" s="30" t="str">
        <f>IF(POR_TEMPLATE!B84="","",POR_TEMPLATE!B84)</f>
        <v/>
      </c>
      <c r="B52" s="30" t="str">
        <f>IF(POR_TEMPLATE!D84="","",POR_TEMPLATE!D84)</f>
        <v/>
      </c>
      <c r="C52" s="30" t="str">
        <f>IF(POR_TEMPLATE!G84="","",POR_TEMPLATE!G84)</f>
        <v/>
      </c>
      <c r="D52" s="30" t="str">
        <f>IF(POR_TEMPLATE!N84="","",POR_TEMPLATE!N84)</f>
        <v/>
      </c>
      <c r="E52" s="30" t="str">
        <f>IF(POR_TEMPLATE!Q84="","",POR_TEMPLATE!Q84)</f>
        <v/>
      </c>
      <c r="F52" s="30" t="str">
        <f>IF(POR_TEMPLATE!S84="","",POR_TEMPLATE!S84)</f>
        <v/>
      </c>
      <c r="G52" s="4">
        <v>51</v>
      </c>
    </row>
    <row r="53" spans="1:7">
      <c r="A53" s="30" t="str">
        <f>IF(POR_TEMPLATE!B85="","",POR_TEMPLATE!B85)</f>
        <v/>
      </c>
      <c r="B53" s="30" t="str">
        <f>IF(POR_TEMPLATE!D85="","",POR_TEMPLATE!D85)</f>
        <v/>
      </c>
      <c r="C53" s="30" t="str">
        <f>IF(POR_TEMPLATE!G85="","",POR_TEMPLATE!G85)</f>
        <v/>
      </c>
      <c r="D53" s="30" t="str">
        <f>IF(POR_TEMPLATE!N85="","",POR_TEMPLATE!N85)</f>
        <v/>
      </c>
      <c r="E53" s="30" t="str">
        <f>IF(POR_TEMPLATE!Q85="","",POR_TEMPLATE!Q85)</f>
        <v/>
      </c>
      <c r="F53" s="30" t="str">
        <f>IF(POR_TEMPLATE!S85="","",POR_TEMPLATE!S85)</f>
        <v/>
      </c>
      <c r="G53" s="4">
        <v>52</v>
      </c>
    </row>
    <row r="54" spans="1:7">
      <c r="A54" s="30" t="str">
        <f>IF(POR_TEMPLATE!B86="","",POR_TEMPLATE!B86)</f>
        <v/>
      </c>
      <c r="B54" s="30" t="str">
        <f>IF(POR_TEMPLATE!D86="","",POR_TEMPLATE!D86)</f>
        <v/>
      </c>
      <c r="C54" s="30" t="str">
        <f>IF(POR_TEMPLATE!G86="","",POR_TEMPLATE!G86)</f>
        <v/>
      </c>
      <c r="D54" s="30" t="str">
        <f>IF(POR_TEMPLATE!N86="","",POR_TEMPLATE!N86)</f>
        <v/>
      </c>
      <c r="E54" s="30" t="str">
        <f>IF(POR_TEMPLATE!Q86="","",POR_TEMPLATE!Q86)</f>
        <v/>
      </c>
      <c r="F54" s="30" t="str">
        <f>IF(POR_TEMPLATE!S86="","",POR_TEMPLATE!S86)</f>
        <v/>
      </c>
      <c r="G54" s="4">
        <v>53</v>
      </c>
    </row>
    <row r="55" spans="1:7">
      <c r="A55" s="30" t="str">
        <f>IF(POR_TEMPLATE!B87="","",POR_TEMPLATE!B87)</f>
        <v/>
      </c>
      <c r="B55" s="30" t="str">
        <f>IF(POR_TEMPLATE!D87="","",POR_TEMPLATE!D87)</f>
        <v/>
      </c>
      <c r="C55" s="30" t="str">
        <f>IF(POR_TEMPLATE!G87="","",POR_TEMPLATE!G87)</f>
        <v/>
      </c>
      <c r="D55" s="30" t="str">
        <f>IF(POR_TEMPLATE!N87="","",POR_TEMPLATE!N87)</f>
        <v/>
      </c>
      <c r="E55" s="30" t="str">
        <f>IF(POR_TEMPLATE!Q87="","",POR_TEMPLATE!Q87)</f>
        <v/>
      </c>
      <c r="F55" s="30" t="str">
        <f>IF(POR_TEMPLATE!S87="","",POR_TEMPLATE!S87)</f>
        <v/>
      </c>
      <c r="G55" s="4">
        <v>54</v>
      </c>
    </row>
    <row r="56" spans="1:7">
      <c r="A56" s="30" t="str">
        <f>IF(POR_TEMPLATE!B88="","",POR_TEMPLATE!B88)</f>
        <v/>
      </c>
      <c r="B56" s="30" t="str">
        <f>IF(POR_TEMPLATE!D88="","",POR_TEMPLATE!D88)</f>
        <v/>
      </c>
      <c r="C56" s="30" t="str">
        <f>IF(POR_TEMPLATE!G88="","",POR_TEMPLATE!G88)</f>
        <v/>
      </c>
      <c r="D56" s="30" t="str">
        <f>IF(POR_TEMPLATE!N88="","",POR_TEMPLATE!N88)</f>
        <v/>
      </c>
      <c r="E56" s="30" t="str">
        <f>IF(POR_TEMPLATE!Q88="","",POR_TEMPLATE!Q88)</f>
        <v/>
      </c>
      <c r="F56" s="30" t="str">
        <f>IF(POR_TEMPLATE!S88="","",POR_TEMPLATE!S88)</f>
        <v/>
      </c>
      <c r="G56" s="4">
        <v>55</v>
      </c>
    </row>
    <row r="57" spans="1:7">
      <c r="A57" s="30" t="str">
        <f>IF(POR_TEMPLATE!B89="","",POR_TEMPLATE!B89)</f>
        <v/>
      </c>
      <c r="B57" s="30" t="str">
        <f>IF(POR_TEMPLATE!D89="","",POR_TEMPLATE!D89)</f>
        <v/>
      </c>
      <c r="C57" s="30" t="str">
        <f>IF(POR_TEMPLATE!G89="","",POR_TEMPLATE!G89)</f>
        <v/>
      </c>
      <c r="D57" s="30" t="str">
        <f>IF(POR_TEMPLATE!N89="","",POR_TEMPLATE!N89)</f>
        <v/>
      </c>
      <c r="E57" s="30" t="str">
        <f>IF(POR_TEMPLATE!Q89="","",POR_TEMPLATE!Q89)</f>
        <v/>
      </c>
      <c r="F57" s="30" t="str">
        <f>IF(POR_TEMPLATE!S89="","",POR_TEMPLATE!S89)</f>
        <v/>
      </c>
      <c r="G57" s="4">
        <v>56</v>
      </c>
    </row>
    <row r="58" spans="1:7">
      <c r="A58" s="30" t="str">
        <f>IF(POR_TEMPLATE!B90="","",POR_TEMPLATE!B90)</f>
        <v/>
      </c>
      <c r="B58" s="30" t="str">
        <f>IF(POR_TEMPLATE!D90="","",POR_TEMPLATE!D90)</f>
        <v/>
      </c>
      <c r="C58" s="30" t="str">
        <f>IF(POR_TEMPLATE!G90="","",POR_TEMPLATE!G90)</f>
        <v/>
      </c>
      <c r="D58" s="30" t="str">
        <f>IF(POR_TEMPLATE!N90="","",POR_TEMPLATE!N90)</f>
        <v/>
      </c>
      <c r="E58" s="30" t="str">
        <f>IF(POR_TEMPLATE!Q90="","",POR_TEMPLATE!Q90)</f>
        <v/>
      </c>
      <c r="F58" s="30" t="str">
        <f>IF(POR_TEMPLATE!S90="","",POR_TEMPLATE!S90)</f>
        <v/>
      </c>
      <c r="G58" s="4">
        <v>57</v>
      </c>
    </row>
    <row r="59" spans="1:7">
      <c r="A59" s="30" t="str">
        <f>IF(POR_TEMPLATE!B91="","",POR_TEMPLATE!B91)</f>
        <v/>
      </c>
      <c r="B59" s="30" t="str">
        <f>IF(POR_TEMPLATE!D91="","",POR_TEMPLATE!D91)</f>
        <v/>
      </c>
      <c r="C59" s="30" t="str">
        <f>IF(POR_TEMPLATE!G91="","",POR_TEMPLATE!G91)</f>
        <v/>
      </c>
      <c r="D59" s="30" t="str">
        <f>IF(POR_TEMPLATE!N91="","",POR_TEMPLATE!N91)</f>
        <v/>
      </c>
      <c r="E59" s="30" t="str">
        <f>IF(POR_TEMPLATE!Q91="","",POR_TEMPLATE!Q91)</f>
        <v/>
      </c>
      <c r="F59" s="30" t="str">
        <f>IF(POR_TEMPLATE!S91="","",POR_TEMPLATE!S91)</f>
        <v/>
      </c>
      <c r="G59" s="4">
        <v>58</v>
      </c>
    </row>
    <row r="60" spans="1:7">
      <c r="A60" s="30" t="str">
        <f>IF(POR_TEMPLATE!B92="","",POR_TEMPLATE!B92)</f>
        <v/>
      </c>
      <c r="B60" s="30" t="str">
        <f>IF(POR_TEMPLATE!D92="","",POR_TEMPLATE!D92)</f>
        <v/>
      </c>
      <c r="C60" s="30" t="str">
        <f>IF(POR_TEMPLATE!G92="","",POR_TEMPLATE!G92)</f>
        <v/>
      </c>
      <c r="D60" s="30" t="str">
        <f>IF(POR_TEMPLATE!N92="","",POR_TEMPLATE!N92)</f>
        <v/>
      </c>
      <c r="E60" s="30" t="str">
        <f>IF(POR_TEMPLATE!Q92="","",POR_TEMPLATE!Q92)</f>
        <v/>
      </c>
      <c r="F60" s="30" t="str">
        <f>IF(POR_TEMPLATE!S92="","",POR_TEMPLATE!S92)</f>
        <v/>
      </c>
      <c r="G60" s="4">
        <v>59</v>
      </c>
    </row>
    <row r="61" spans="1:7">
      <c r="A61" s="30" t="str">
        <f>IF(POR_TEMPLATE!B93="","",POR_TEMPLATE!B93)</f>
        <v/>
      </c>
      <c r="B61" s="30" t="str">
        <f>IF(POR_TEMPLATE!D93="","",POR_TEMPLATE!D93)</f>
        <v/>
      </c>
      <c r="C61" s="30" t="str">
        <f>IF(POR_TEMPLATE!G93="","",POR_TEMPLATE!G93)</f>
        <v/>
      </c>
      <c r="D61" s="30" t="str">
        <f>IF(POR_TEMPLATE!N93="","",POR_TEMPLATE!N93)</f>
        <v/>
      </c>
      <c r="E61" s="30" t="str">
        <f>IF(POR_TEMPLATE!Q93="","",POR_TEMPLATE!Q93)</f>
        <v/>
      </c>
      <c r="F61" s="30" t="str">
        <f>IF(POR_TEMPLATE!S93="","",POR_TEMPLATE!S93)</f>
        <v/>
      </c>
      <c r="G61" s="4">
        <v>60</v>
      </c>
    </row>
    <row r="62" spans="1:7">
      <c r="A62" s="30" t="str">
        <f>IF(POR_TEMPLATE!B94="","",POR_TEMPLATE!B94)</f>
        <v/>
      </c>
      <c r="B62" s="30" t="str">
        <f>IF(POR_TEMPLATE!D94="","",POR_TEMPLATE!D94)</f>
        <v/>
      </c>
      <c r="C62" s="30" t="str">
        <f>IF(POR_TEMPLATE!G94="","",POR_TEMPLATE!G94)</f>
        <v/>
      </c>
      <c r="D62" s="30" t="str">
        <f>IF(POR_TEMPLATE!N94="","",POR_TEMPLATE!N94)</f>
        <v/>
      </c>
      <c r="E62" s="30" t="str">
        <f>IF(POR_TEMPLATE!Q94="","",POR_TEMPLATE!Q94)</f>
        <v/>
      </c>
      <c r="F62" s="30" t="str">
        <f>IF(POR_TEMPLATE!S94="","",POR_TEMPLATE!S94)</f>
        <v/>
      </c>
      <c r="G62" s="4">
        <v>61</v>
      </c>
    </row>
    <row r="63" spans="1:7">
      <c r="A63" s="30" t="str">
        <f>IF(POR_TEMPLATE!B95="","",POR_TEMPLATE!B95)</f>
        <v/>
      </c>
      <c r="B63" s="30" t="str">
        <f>IF(POR_TEMPLATE!D95="","",POR_TEMPLATE!D95)</f>
        <v/>
      </c>
      <c r="C63" s="30" t="str">
        <f>IF(POR_TEMPLATE!G95="","",POR_TEMPLATE!G95)</f>
        <v/>
      </c>
      <c r="D63" s="30" t="str">
        <f>IF(POR_TEMPLATE!N95="","",POR_TEMPLATE!N95)</f>
        <v/>
      </c>
      <c r="E63" s="30" t="str">
        <f>IF(POR_TEMPLATE!Q95="","",POR_TEMPLATE!Q95)</f>
        <v/>
      </c>
      <c r="F63" s="30" t="str">
        <f>IF(POR_TEMPLATE!S95="","",POR_TEMPLATE!S95)</f>
        <v/>
      </c>
      <c r="G63" s="4">
        <v>62</v>
      </c>
    </row>
    <row r="64" spans="1:7">
      <c r="A64" s="30" t="str">
        <f>IF(POR_TEMPLATE!B96="","",POR_TEMPLATE!B96)</f>
        <v/>
      </c>
      <c r="B64" s="30" t="str">
        <f>IF(POR_TEMPLATE!D96="","",POR_TEMPLATE!D96)</f>
        <v/>
      </c>
      <c r="C64" s="30" t="str">
        <f>IF(POR_TEMPLATE!G96="","",POR_TEMPLATE!G96)</f>
        <v/>
      </c>
      <c r="D64" s="30" t="str">
        <f>IF(POR_TEMPLATE!N96="","",POR_TEMPLATE!N96)</f>
        <v/>
      </c>
      <c r="E64" s="30" t="str">
        <f>IF(POR_TEMPLATE!Q96="","",POR_TEMPLATE!Q96)</f>
        <v/>
      </c>
      <c r="F64" s="30" t="str">
        <f>IF(POR_TEMPLATE!S96="","",POR_TEMPLATE!S96)</f>
        <v/>
      </c>
      <c r="G64" s="4">
        <v>63</v>
      </c>
    </row>
    <row r="65" spans="1:7">
      <c r="A65" s="30" t="str">
        <f>IF(POR_TEMPLATE!B97="","",POR_TEMPLATE!B97)</f>
        <v/>
      </c>
      <c r="B65" s="30" t="str">
        <f>IF(POR_TEMPLATE!D97="","",POR_TEMPLATE!D97)</f>
        <v/>
      </c>
      <c r="C65" s="30" t="str">
        <f>IF(POR_TEMPLATE!G97="","",POR_TEMPLATE!G97)</f>
        <v/>
      </c>
      <c r="D65" s="30" t="str">
        <f>IF(POR_TEMPLATE!N97="","",POR_TEMPLATE!N97)</f>
        <v/>
      </c>
      <c r="E65" s="30" t="str">
        <f>IF(POR_TEMPLATE!Q97="","",POR_TEMPLATE!Q97)</f>
        <v/>
      </c>
      <c r="F65" s="30" t="str">
        <f>IF(POR_TEMPLATE!S97="","",POR_TEMPLATE!S97)</f>
        <v/>
      </c>
      <c r="G65" s="4">
        <v>64</v>
      </c>
    </row>
    <row r="66" spans="1:7">
      <c r="A66" s="30" t="str">
        <f>IF(POR_TEMPLATE!B98="","",POR_TEMPLATE!B98)</f>
        <v/>
      </c>
      <c r="B66" s="30" t="str">
        <f>IF(POR_TEMPLATE!D98="","",POR_TEMPLATE!D98)</f>
        <v/>
      </c>
      <c r="C66" s="30" t="str">
        <f>IF(POR_TEMPLATE!G98="","",POR_TEMPLATE!G98)</f>
        <v/>
      </c>
      <c r="D66" s="30" t="str">
        <f>IF(POR_TEMPLATE!N98="","",POR_TEMPLATE!N98)</f>
        <v/>
      </c>
      <c r="E66" s="30" t="str">
        <f>IF(POR_TEMPLATE!Q98="","",POR_TEMPLATE!Q98)</f>
        <v/>
      </c>
      <c r="F66" s="30" t="str">
        <f>IF(POR_TEMPLATE!S98="","",POR_TEMPLATE!S98)</f>
        <v/>
      </c>
      <c r="G66" s="4">
        <v>65</v>
      </c>
    </row>
    <row r="67" spans="1:7">
      <c r="A67" s="30" t="str">
        <f>IF(POR_TEMPLATE!B99="","",POR_TEMPLATE!B99)</f>
        <v/>
      </c>
      <c r="B67" s="30" t="str">
        <f>IF(POR_TEMPLATE!D99="","",POR_TEMPLATE!D99)</f>
        <v/>
      </c>
      <c r="C67" s="30" t="str">
        <f>IF(POR_TEMPLATE!G99="","",POR_TEMPLATE!G99)</f>
        <v/>
      </c>
      <c r="D67" s="30" t="str">
        <f>IF(POR_TEMPLATE!N99="","",POR_TEMPLATE!N99)</f>
        <v/>
      </c>
      <c r="E67" s="30" t="str">
        <f>IF(POR_TEMPLATE!Q99="","",POR_TEMPLATE!Q99)</f>
        <v/>
      </c>
      <c r="F67" s="30" t="str">
        <f>IF(POR_TEMPLATE!S99="","",POR_TEMPLATE!S99)</f>
        <v/>
      </c>
      <c r="G67" s="4">
        <v>66</v>
      </c>
    </row>
    <row r="68" spans="1:7">
      <c r="A68" s="30" t="str">
        <f>IF(POR_TEMPLATE!B100="","",POR_TEMPLATE!B100)</f>
        <v/>
      </c>
      <c r="B68" s="30" t="str">
        <f>IF(POR_TEMPLATE!D100="","",POR_TEMPLATE!D100)</f>
        <v/>
      </c>
      <c r="C68" s="30" t="str">
        <f>IF(POR_TEMPLATE!G100="","",POR_TEMPLATE!G100)</f>
        <v/>
      </c>
      <c r="D68" s="30" t="str">
        <f>IF(POR_TEMPLATE!N100="","",POR_TEMPLATE!N100)</f>
        <v/>
      </c>
      <c r="E68" s="30" t="str">
        <f>IF(POR_TEMPLATE!Q100="","",POR_TEMPLATE!Q100)</f>
        <v/>
      </c>
      <c r="F68" s="30" t="str">
        <f>IF(POR_TEMPLATE!S100="","",POR_TEMPLATE!S100)</f>
        <v/>
      </c>
      <c r="G68" s="4">
        <v>67</v>
      </c>
    </row>
    <row r="69" spans="1:7">
      <c r="A69" s="30" t="str">
        <f>IF(POR_TEMPLATE!B101="","",POR_TEMPLATE!B101)</f>
        <v/>
      </c>
      <c r="B69" s="30" t="str">
        <f>IF(POR_TEMPLATE!D101="","",POR_TEMPLATE!D101)</f>
        <v/>
      </c>
      <c r="C69" s="30" t="str">
        <f>IF(POR_TEMPLATE!G101="","",POR_TEMPLATE!G101)</f>
        <v/>
      </c>
      <c r="D69" s="30" t="str">
        <f>IF(POR_TEMPLATE!N101="","",POR_TEMPLATE!N101)</f>
        <v/>
      </c>
      <c r="E69" s="30" t="str">
        <f>IF(POR_TEMPLATE!Q101="","",POR_TEMPLATE!Q101)</f>
        <v/>
      </c>
      <c r="F69" s="30" t="str">
        <f>IF(POR_TEMPLATE!S101="","",POR_TEMPLATE!S101)</f>
        <v/>
      </c>
      <c r="G69" s="4">
        <v>68</v>
      </c>
    </row>
    <row r="70" spans="1:7">
      <c r="A70" s="30" t="str">
        <f>IF(POR_TEMPLATE!B102="","",POR_TEMPLATE!B102)</f>
        <v/>
      </c>
      <c r="B70" s="30" t="str">
        <f>IF(POR_TEMPLATE!D102="","",POR_TEMPLATE!D102)</f>
        <v/>
      </c>
      <c r="C70" s="30" t="str">
        <f>IF(POR_TEMPLATE!G102="","",POR_TEMPLATE!G102)</f>
        <v/>
      </c>
      <c r="D70" s="30" t="str">
        <f>IF(POR_TEMPLATE!N102="","",POR_TEMPLATE!N102)</f>
        <v/>
      </c>
      <c r="E70" s="30" t="str">
        <f>IF(POR_TEMPLATE!Q102="","",POR_TEMPLATE!Q102)</f>
        <v/>
      </c>
      <c r="F70" s="30" t="str">
        <f>IF(POR_TEMPLATE!S102="","",POR_TEMPLATE!S102)</f>
        <v/>
      </c>
      <c r="G70" s="4">
        <v>69</v>
      </c>
    </row>
    <row r="71" spans="1:7">
      <c r="A71" s="30" t="str">
        <f>IF(POR_TEMPLATE!B103="","",POR_TEMPLATE!B103)</f>
        <v/>
      </c>
      <c r="B71" s="30" t="str">
        <f>IF(POR_TEMPLATE!D103="","",POR_TEMPLATE!D103)</f>
        <v/>
      </c>
      <c r="C71" s="30" t="str">
        <f>IF(POR_TEMPLATE!G103="","",POR_TEMPLATE!G103)</f>
        <v/>
      </c>
      <c r="D71" s="30" t="str">
        <f>IF(POR_TEMPLATE!N103="","",POR_TEMPLATE!N103)</f>
        <v/>
      </c>
      <c r="E71" s="30" t="str">
        <f>IF(POR_TEMPLATE!Q103="","",POR_TEMPLATE!Q103)</f>
        <v/>
      </c>
      <c r="F71" s="30" t="str">
        <f>IF(POR_TEMPLATE!S103="","",POR_TEMPLATE!S103)</f>
        <v/>
      </c>
      <c r="G71" s="4">
        <v>70</v>
      </c>
    </row>
    <row r="72" spans="1:7">
      <c r="A72" s="30" t="str">
        <f>IF(POR_TEMPLATE!B104="","",POR_TEMPLATE!B104)</f>
        <v/>
      </c>
      <c r="B72" s="30" t="str">
        <f>IF(POR_TEMPLATE!D104="","",POR_TEMPLATE!D104)</f>
        <v/>
      </c>
      <c r="C72" s="30" t="str">
        <f>IF(POR_TEMPLATE!G104="","",POR_TEMPLATE!G104)</f>
        <v/>
      </c>
      <c r="D72" s="30" t="str">
        <f>IF(POR_TEMPLATE!N104="","",POR_TEMPLATE!N104)</f>
        <v/>
      </c>
      <c r="E72" s="30" t="str">
        <f>IF(POR_TEMPLATE!Q104="","",POR_TEMPLATE!Q104)</f>
        <v/>
      </c>
      <c r="F72" s="30" t="str">
        <f>IF(POR_TEMPLATE!S104="","",POR_TEMPLATE!S104)</f>
        <v/>
      </c>
      <c r="G72" s="4">
        <v>71</v>
      </c>
    </row>
    <row r="73" spans="1:7">
      <c r="A73" s="30" t="str">
        <f>IF(POR_TEMPLATE!B105="","",POR_TEMPLATE!B105)</f>
        <v/>
      </c>
      <c r="B73" s="30" t="str">
        <f>IF(POR_TEMPLATE!D105="","",POR_TEMPLATE!D105)</f>
        <v/>
      </c>
      <c r="C73" s="30" t="str">
        <f>IF(POR_TEMPLATE!G105="","",POR_TEMPLATE!G105)</f>
        <v/>
      </c>
      <c r="D73" s="30" t="str">
        <f>IF(POR_TEMPLATE!N105="","",POR_TEMPLATE!N105)</f>
        <v/>
      </c>
      <c r="E73" s="30" t="str">
        <f>IF(POR_TEMPLATE!Q105="","",POR_TEMPLATE!Q105)</f>
        <v/>
      </c>
      <c r="F73" s="30" t="str">
        <f>IF(POR_TEMPLATE!S105="","",POR_TEMPLATE!S105)</f>
        <v/>
      </c>
      <c r="G73" s="4">
        <v>72</v>
      </c>
    </row>
    <row r="74" spans="1:7">
      <c r="A74" s="30" t="str">
        <f>IF(POR_TEMPLATE!B106="","",POR_TEMPLATE!B106)</f>
        <v/>
      </c>
      <c r="B74" s="30" t="str">
        <f>IF(POR_TEMPLATE!D106="","",POR_TEMPLATE!D106)</f>
        <v/>
      </c>
      <c r="C74" s="30" t="str">
        <f>IF(POR_TEMPLATE!G106="","",POR_TEMPLATE!G106)</f>
        <v/>
      </c>
      <c r="D74" s="30" t="str">
        <f>IF(POR_TEMPLATE!N106="","",POR_TEMPLATE!N106)</f>
        <v/>
      </c>
      <c r="E74" s="30" t="str">
        <f>IF(POR_TEMPLATE!Q106="","",POR_TEMPLATE!Q106)</f>
        <v/>
      </c>
      <c r="F74" s="30" t="str">
        <f>IF(POR_TEMPLATE!S106="","",POR_TEMPLATE!S106)</f>
        <v/>
      </c>
      <c r="G74" s="4">
        <v>73</v>
      </c>
    </row>
    <row r="75" spans="1:7">
      <c r="A75" s="30" t="str">
        <f>IF(POR_TEMPLATE!B107="","",POR_TEMPLATE!B107)</f>
        <v/>
      </c>
      <c r="B75" s="30" t="str">
        <f>IF(POR_TEMPLATE!D107="","",POR_TEMPLATE!D107)</f>
        <v/>
      </c>
      <c r="C75" s="30" t="str">
        <f>IF(POR_TEMPLATE!G107="","",POR_TEMPLATE!G107)</f>
        <v/>
      </c>
      <c r="D75" s="30" t="str">
        <f>IF(POR_TEMPLATE!N107="","",POR_TEMPLATE!N107)</f>
        <v/>
      </c>
      <c r="E75" s="30" t="str">
        <f>IF(POR_TEMPLATE!Q107="","",POR_TEMPLATE!Q107)</f>
        <v/>
      </c>
      <c r="F75" s="30" t="str">
        <f>IF(POR_TEMPLATE!S107="","",POR_TEMPLATE!S107)</f>
        <v/>
      </c>
      <c r="G75" s="4">
        <v>74</v>
      </c>
    </row>
    <row r="76" spans="1:7">
      <c r="A76" s="30" t="str">
        <f>IF(POR_TEMPLATE!B108="","",POR_TEMPLATE!B108)</f>
        <v/>
      </c>
      <c r="B76" s="30" t="str">
        <f>IF(POR_TEMPLATE!D108="","",POR_TEMPLATE!D108)</f>
        <v/>
      </c>
      <c r="C76" s="30" t="str">
        <f>IF(POR_TEMPLATE!G108="","",POR_TEMPLATE!G108)</f>
        <v/>
      </c>
      <c r="D76" s="30" t="str">
        <f>IF(POR_TEMPLATE!N108="","",POR_TEMPLATE!N108)</f>
        <v/>
      </c>
      <c r="E76" s="30" t="str">
        <f>IF(POR_TEMPLATE!Q108="","",POR_TEMPLATE!Q108)</f>
        <v/>
      </c>
      <c r="F76" s="30" t="str">
        <f>IF(POR_TEMPLATE!S108="","",POR_TEMPLATE!S108)</f>
        <v/>
      </c>
      <c r="G76" s="4">
        <v>75</v>
      </c>
    </row>
    <row r="77" spans="1:7">
      <c r="A77" s="30" t="str">
        <f>IF(POR_TEMPLATE!B109="","",POR_TEMPLATE!B109)</f>
        <v/>
      </c>
      <c r="B77" s="30" t="str">
        <f>IF(POR_TEMPLATE!D109="","",POR_TEMPLATE!D109)</f>
        <v/>
      </c>
      <c r="C77" s="30" t="str">
        <f>IF(POR_TEMPLATE!G109="","",POR_TEMPLATE!G109)</f>
        <v/>
      </c>
      <c r="D77" s="30" t="str">
        <f>IF(POR_TEMPLATE!N109="","",POR_TEMPLATE!N109)</f>
        <v/>
      </c>
      <c r="E77" s="30" t="str">
        <f>IF(POR_TEMPLATE!Q109="","",POR_TEMPLATE!Q109)</f>
        <v/>
      </c>
      <c r="F77" s="30" t="str">
        <f>IF(POR_TEMPLATE!S109="","",POR_TEMPLATE!S109)</f>
        <v/>
      </c>
      <c r="G77" s="4">
        <v>76</v>
      </c>
    </row>
    <row r="78" spans="1:7">
      <c r="A78" s="30" t="str">
        <f>IF(POR_TEMPLATE!B110="","",POR_TEMPLATE!B110)</f>
        <v/>
      </c>
      <c r="B78" s="30" t="str">
        <f>IF(POR_TEMPLATE!D110="","",POR_TEMPLATE!D110)</f>
        <v/>
      </c>
      <c r="C78" s="30" t="str">
        <f>IF(POR_TEMPLATE!G110="","",POR_TEMPLATE!G110)</f>
        <v/>
      </c>
      <c r="D78" s="30" t="str">
        <f>IF(POR_TEMPLATE!N110="","",POR_TEMPLATE!N110)</f>
        <v/>
      </c>
      <c r="E78" s="30" t="str">
        <f>IF(POR_TEMPLATE!Q110="","",POR_TEMPLATE!Q110)</f>
        <v/>
      </c>
      <c r="F78" s="30" t="str">
        <f>IF(POR_TEMPLATE!S110="","",POR_TEMPLATE!S110)</f>
        <v/>
      </c>
      <c r="G78" s="4">
        <v>77</v>
      </c>
    </row>
    <row r="79" spans="1:7">
      <c r="A79" s="30" t="str">
        <f>IF(POR_TEMPLATE!B111="","",POR_TEMPLATE!B111)</f>
        <v/>
      </c>
      <c r="B79" s="30" t="str">
        <f>IF(POR_TEMPLATE!D111="","",POR_TEMPLATE!D111)</f>
        <v/>
      </c>
      <c r="C79" s="30" t="str">
        <f>IF(POR_TEMPLATE!G111="","",POR_TEMPLATE!G111)</f>
        <v/>
      </c>
      <c r="D79" s="30" t="str">
        <f>IF(POR_TEMPLATE!N111="","",POR_TEMPLATE!N111)</f>
        <v/>
      </c>
      <c r="E79" s="30" t="str">
        <f>IF(POR_TEMPLATE!Q111="","",POR_TEMPLATE!Q111)</f>
        <v/>
      </c>
      <c r="F79" s="30" t="str">
        <f>IF(POR_TEMPLATE!S111="","",POR_TEMPLATE!S111)</f>
        <v/>
      </c>
      <c r="G79" s="4">
        <v>78</v>
      </c>
    </row>
    <row r="80" spans="1:7">
      <c r="A80" s="30" t="str">
        <f>IF(POR_TEMPLATE!B112="","",POR_TEMPLATE!B112)</f>
        <v/>
      </c>
      <c r="B80" s="30" t="str">
        <f>IF(POR_TEMPLATE!D112="","",POR_TEMPLATE!D112)</f>
        <v/>
      </c>
      <c r="C80" s="30" t="str">
        <f>IF(POR_TEMPLATE!G112="","",POR_TEMPLATE!G112)</f>
        <v/>
      </c>
      <c r="D80" s="30" t="str">
        <f>IF(POR_TEMPLATE!N112="","",POR_TEMPLATE!N112)</f>
        <v/>
      </c>
      <c r="E80" s="30" t="str">
        <f>IF(POR_TEMPLATE!Q112="","",POR_TEMPLATE!Q112)</f>
        <v/>
      </c>
      <c r="F80" s="30" t="str">
        <f>IF(POR_TEMPLATE!S112="","",POR_TEMPLATE!S112)</f>
        <v/>
      </c>
      <c r="G80" s="4">
        <v>79</v>
      </c>
    </row>
    <row r="81" spans="1:7">
      <c r="A81" s="30" t="str">
        <f>IF(POR_TEMPLATE!B113="","",POR_TEMPLATE!B113)</f>
        <v/>
      </c>
      <c r="B81" s="30" t="str">
        <f>IF(POR_TEMPLATE!D113="","",POR_TEMPLATE!D113)</f>
        <v/>
      </c>
      <c r="C81" s="30" t="str">
        <f>IF(POR_TEMPLATE!G113="","",POR_TEMPLATE!G113)</f>
        <v/>
      </c>
      <c r="D81" s="30" t="str">
        <f>IF(POR_TEMPLATE!N113="","",POR_TEMPLATE!N113)</f>
        <v/>
      </c>
      <c r="E81" s="30" t="str">
        <f>IF(POR_TEMPLATE!Q113="","",POR_TEMPLATE!Q113)</f>
        <v/>
      </c>
      <c r="F81" s="30" t="str">
        <f>IF(POR_TEMPLATE!S113="","",POR_TEMPLATE!S113)</f>
        <v/>
      </c>
      <c r="G81" s="4">
        <v>80</v>
      </c>
    </row>
    <row r="82" spans="1:7">
      <c r="A82" s="30" t="str">
        <f>IF(POR_TEMPLATE!B114="","",POR_TEMPLATE!B114)</f>
        <v/>
      </c>
      <c r="B82" s="30" t="str">
        <f>IF(POR_TEMPLATE!D114="","",POR_TEMPLATE!D114)</f>
        <v/>
      </c>
      <c r="C82" s="30" t="str">
        <f>IF(POR_TEMPLATE!G114="","",POR_TEMPLATE!G114)</f>
        <v/>
      </c>
      <c r="D82" s="30" t="str">
        <f>IF(POR_TEMPLATE!N114="","",POR_TEMPLATE!N114)</f>
        <v/>
      </c>
      <c r="E82" s="30" t="str">
        <f>IF(POR_TEMPLATE!Q114="","",POR_TEMPLATE!Q114)</f>
        <v/>
      </c>
      <c r="F82" s="30" t="str">
        <f>IF(POR_TEMPLATE!S114="","",POR_TEMPLATE!S114)</f>
        <v/>
      </c>
      <c r="G82" s="4">
        <v>81</v>
      </c>
    </row>
    <row r="83" spans="1:7">
      <c r="A83" s="30" t="str">
        <f>IF(POR_TEMPLATE!B115="","",POR_TEMPLATE!B115)</f>
        <v/>
      </c>
      <c r="B83" s="30" t="str">
        <f>IF(POR_TEMPLATE!D115="","",POR_TEMPLATE!D115)</f>
        <v/>
      </c>
      <c r="C83" s="30" t="str">
        <f>IF(POR_TEMPLATE!G115="","",POR_TEMPLATE!G115)</f>
        <v/>
      </c>
      <c r="D83" s="30" t="str">
        <f>IF(POR_TEMPLATE!N115="","",POR_TEMPLATE!N115)</f>
        <v/>
      </c>
      <c r="E83" s="30" t="str">
        <f>IF(POR_TEMPLATE!Q115="","",POR_TEMPLATE!Q115)</f>
        <v/>
      </c>
      <c r="F83" s="30" t="str">
        <f>IF(POR_TEMPLATE!S115="","",POR_TEMPLATE!S115)</f>
        <v/>
      </c>
      <c r="G83" s="4">
        <v>82</v>
      </c>
    </row>
    <row r="84" spans="1:7">
      <c r="A84" s="30" t="str">
        <f>IF(POR_TEMPLATE!B116="","",POR_TEMPLATE!B116)</f>
        <v/>
      </c>
      <c r="B84" s="30" t="str">
        <f>IF(POR_TEMPLATE!D116="","",POR_TEMPLATE!D116)</f>
        <v/>
      </c>
      <c r="C84" s="30" t="str">
        <f>IF(POR_TEMPLATE!G116="","",POR_TEMPLATE!G116)</f>
        <v/>
      </c>
      <c r="D84" s="30" t="str">
        <f>IF(POR_TEMPLATE!N116="","",POR_TEMPLATE!N116)</f>
        <v/>
      </c>
      <c r="E84" s="30" t="str">
        <f>IF(POR_TEMPLATE!Q116="","",POR_TEMPLATE!Q116)</f>
        <v/>
      </c>
      <c r="F84" s="30" t="str">
        <f>IF(POR_TEMPLATE!S116="","",POR_TEMPLATE!S116)</f>
        <v/>
      </c>
      <c r="G84" s="4">
        <v>83</v>
      </c>
    </row>
    <row r="85" spans="1:7">
      <c r="A85" s="30" t="str">
        <f>IF(POR_TEMPLATE!B117="","",POR_TEMPLATE!B117)</f>
        <v/>
      </c>
      <c r="B85" s="30" t="str">
        <f>IF(POR_TEMPLATE!D117="","",POR_TEMPLATE!D117)</f>
        <v/>
      </c>
      <c r="C85" s="30" t="str">
        <f>IF(POR_TEMPLATE!G117="","",POR_TEMPLATE!G117)</f>
        <v/>
      </c>
      <c r="D85" s="30" t="str">
        <f>IF(POR_TEMPLATE!N117="","",POR_TEMPLATE!N117)</f>
        <v/>
      </c>
      <c r="E85" s="30" t="str">
        <f>IF(POR_TEMPLATE!Q117="","",POR_TEMPLATE!Q117)</f>
        <v/>
      </c>
      <c r="F85" s="30" t="str">
        <f>IF(POR_TEMPLATE!S117="","",POR_TEMPLATE!S117)</f>
        <v/>
      </c>
      <c r="G85" s="4">
        <v>84</v>
      </c>
    </row>
    <row r="86" spans="1:7">
      <c r="A86" s="30" t="str">
        <f>IF(POR_TEMPLATE!B118="","",POR_TEMPLATE!B118)</f>
        <v/>
      </c>
      <c r="B86" s="30" t="str">
        <f>IF(POR_TEMPLATE!D118="","",POR_TEMPLATE!D118)</f>
        <v/>
      </c>
      <c r="C86" s="30" t="str">
        <f>IF(POR_TEMPLATE!G118="","",POR_TEMPLATE!G118)</f>
        <v/>
      </c>
      <c r="D86" s="30" t="str">
        <f>IF(POR_TEMPLATE!N118="","",POR_TEMPLATE!N118)</f>
        <v/>
      </c>
      <c r="E86" s="30" t="str">
        <f>IF(POR_TEMPLATE!Q118="","",POR_TEMPLATE!Q118)</f>
        <v/>
      </c>
      <c r="F86" s="30" t="str">
        <f>IF(POR_TEMPLATE!S118="","",POR_TEMPLATE!S118)</f>
        <v/>
      </c>
      <c r="G86" s="4">
        <v>85</v>
      </c>
    </row>
    <row r="87" spans="1:7">
      <c r="A87" s="30" t="str">
        <f>IF(POR_TEMPLATE!B119="","",POR_TEMPLATE!B119)</f>
        <v/>
      </c>
      <c r="B87" s="30" t="str">
        <f>IF(POR_TEMPLATE!D119="","",POR_TEMPLATE!D119)</f>
        <v/>
      </c>
      <c r="C87" s="30" t="str">
        <f>IF(POR_TEMPLATE!G119="","",POR_TEMPLATE!G119)</f>
        <v/>
      </c>
      <c r="D87" s="30" t="str">
        <f>IF(POR_TEMPLATE!N119="","",POR_TEMPLATE!N119)</f>
        <v/>
      </c>
      <c r="E87" s="30" t="str">
        <f>IF(POR_TEMPLATE!Q119="","",POR_TEMPLATE!Q119)</f>
        <v/>
      </c>
      <c r="F87" s="30" t="str">
        <f>IF(POR_TEMPLATE!S119="","",POR_TEMPLATE!S119)</f>
        <v/>
      </c>
      <c r="G87" s="4">
        <v>86</v>
      </c>
    </row>
    <row r="88" spans="1:7">
      <c r="A88" s="30" t="str">
        <f>IF(POR_TEMPLATE!B120="","",POR_TEMPLATE!B120)</f>
        <v/>
      </c>
      <c r="B88" s="30" t="str">
        <f>IF(POR_TEMPLATE!D120="","",POR_TEMPLATE!D120)</f>
        <v/>
      </c>
      <c r="C88" s="30" t="str">
        <f>IF(POR_TEMPLATE!G120="","",POR_TEMPLATE!G120)</f>
        <v/>
      </c>
      <c r="D88" s="30" t="str">
        <f>IF(POR_TEMPLATE!N120="","",POR_TEMPLATE!N120)</f>
        <v/>
      </c>
      <c r="E88" s="30" t="str">
        <f>IF(POR_TEMPLATE!Q120="","",POR_TEMPLATE!Q120)</f>
        <v/>
      </c>
      <c r="F88" s="30" t="str">
        <f>IF(POR_TEMPLATE!S120="","",POR_TEMPLATE!S120)</f>
        <v/>
      </c>
      <c r="G88" s="4">
        <v>87</v>
      </c>
    </row>
    <row r="89" spans="1:7">
      <c r="A89" s="30" t="str">
        <f>IF(POR_TEMPLATE!B121="","",POR_TEMPLATE!B121)</f>
        <v/>
      </c>
      <c r="B89" s="30" t="str">
        <f>IF(POR_TEMPLATE!D121="","",POR_TEMPLATE!D121)</f>
        <v/>
      </c>
      <c r="C89" s="30" t="str">
        <f>IF(POR_TEMPLATE!G121="","",POR_TEMPLATE!G121)</f>
        <v/>
      </c>
      <c r="D89" s="30" t="str">
        <f>IF(POR_TEMPLATE!N121="","",POR_TEMPLATE!N121)</f>
        <v/>
      </c>
      <c r="E89" s="30" t="str">
        <f>IF(POR_TEMPLATE!Q121="","",POR_TEMPLATE!Q121)</f>
        <v/>
      </c>
      <c r="F89" s="30" t="str">
        <f>IF(POR_TEMPLATE!S121="","",POR_TEMPLATE!S121)</f>
        <v/>
      </c>
      <c r="G89" s="4">
        <v>88</v>
      </c>
    </row>
    <row r="90" spans="1:7">
      <c r="A90" s="30" t="str">
        <f>IF(POR_TEMPLATE!B122="","",POR_TEMPLATE!B122)</f>
        <v/>
      </c>
      <c r="B90" s="30" t="str">
        <f>IF(POR_TEMPLATE!D122="","",POR_TEMPLATE!D122)</f>
        <v/>
      </c>
      <c r="C90" s="30" t="str">
        <f>IF(POR_TEMPLATE!G122="","",POR_TEMPLATE!G122)</f>
        <v/>
      </c>
      <c r="D90" s="30" t="str">
        <f>IF(POR_TEMPLATE!N122="","",POR_TEMPLATE!N122)</f>
        <v/>
      </c>
      <c r="E90" s="30" t="str">
        <f>IF(POR_TEMPLATE!Q122="","",POR_TEMPLATE!Q122)</f>
        <v/>
      </c>
      <c r="F90" s="30" t="str">
        <f>IF(POR_TEMPLATE!S122="","",POR_TEMPLATE!S122)</f>
        <v/>
      </c>
      <c r="G90" s="4">
        <v>89</v>
      </c>
    </row>
    <row r="91" spans="1:7">
      <c r="A91" s="30" t="str">
        <f>IF(POR_TEMPLATE!B123="","",POR_TEMPLATE!B123)</f>
        <v/>
      </c>
      <c r="B91" s="30" t="str">
        <f>IF(POR_TEMPLATE!D123="","",POR_TEMPLATE!D123)</f>
        <v/>
      </c>
      <c r="C91" s="30" t="str">
        <f>IF(POR_TEMPLATE!G123="","",POR_TEMPLATE!G123)</f>
        <v/>
      </c>
      <c r="D91" s="30" t="str">
        <f>IF(POR_TEMPLATE!N123="","",POR_TEMPLATE!N123)</f>
        <v/>
      </c>
      <c r="E91" s="30" t="str">
        <f>IF(POR_TEMPLATE!Q123="","",POR_TEMPLATE!Q123)</f>
        <v/>
      </c>
      <c r="F91" s="30" t="str">
        <f>IF(POR_TEMPLATE!S123="","",POR_TEMPLATE!S123)</f>
        <v/>
      </c>
      <c r="G91" s="4">
        <v>90</v>
      </c>
    </row>
    <row r="92" spans="1:7">
      <c r="A92" s="30" t="str">
        <f>IF(POR_TEMPLATE!B124="","",POR_TEMPLATE!B124)</f>
        <v/>
      </c>
      <c r="B92" s="30" t="str">
        <f>IF(POR_TEMPLATE!D124="","",POR_TEMPLATE!D124)</f>
        <v/>
      </c>
      <c r="C92" s="30" t="str">
        <f>IF(POR_TEMPLATE!G124="","",POR_TEMPLATE!G124)</f>
        <v/>
      </c>
      <c r="D92" s="30" t="str">
        <f>IF(POR_TEMPLATE!N124="","",POR_TEMPLATE!N124)</f>
        <v/>
      </c>
      <c r="E92" s="30" t="str">
        <f>IF(POR_TEMPLATE!Q124="","",POR_TEMPLATE!Q124)</f>
        <v/>
      </c>
      <c r="F92" s="30" t="str">
        <f>IF(POR_TEMPLATE!S124="","",POR_TEMPLATE!S124)</f>
        <v/>
      </c>
      <c r="G92" s="4">
        <v>91</v>
      </c>
    </row>
    <row r="93" spans="1:7">
      <c r="A93" s="30" t="str">
        <f>IF(POR_TEMPLATE!B125="","",POR_TEMPLATE!B125)</f>
        <v/>
      </c>
      <c r="B93" s="30" t="str">
        <f>IF(POR_TEMPLATE!D125="","",POR_TEMPLATE!D125)</f>
        <v/>
      </c>
      <c r="C93" s="30" t="str">
        <f>IF(POR_TEMPLATE!G125="","",POR_TEMPLATE!G125)</f>
        <v/>
      </c>
      <c r="D93" s="30" t="str">
        <f>IF(POR_TEMPLATE!N125="","",POR_TEMPLATE!N125)</f>
        <v/>
      </c>
      <c r="E93" s="30" t="str">
        <f>IF(POR_TEMPLATE!Q125="","",POR_TEMPLATE!Q125)</f>
        <v/>
      </c>
      <c r="F93" s="30" t="str">
        <f>IF(POR_TEMPLATE!S125="","",POR_TEMPLATE!S125)</f>
        <v/>
      </c>
      <c r="G93" s="4">
        <v>92</v>
      </c>
    </row>
    <row r="94" spans="1:7">
      <c r="A94" s="30" t="str">
        <f>IF(POR_TEMPLATE!B126="","",POR_TEMPLATE!B126)</f>
        <v/>
      </c>
      <c r="B94" s="30" t="str">
        <f>IF(POR_TEMPLATE!D126="","",POR_TEMPLATE!D126)</f>
        <v/>
      </c>
      <c r="C94" s="30" t="str">
        <f>IF(POR_TEMPLATE!G126="","",POR_TEMPLATE!G126)</f>
        <v/>
      </c>
      <c r="D94" s="30" t="str">
        <f>IF(POR_TEMPLATE!N126="","",POR_TEMPLATE!N126)</f>
        <v/>
      </c>
      <c r="E94" s="30" t="str">
        <f>IF(POR_TEMPLATE!Q126="","",POR_TEMPLATE!Q126)</f>
        <v/>
      </c>
      <c r="F94" s="30" t="str">
        <f>IF(POR_TEMPLATE!S126="","",POR_TEMPLATE!S126)</f>
        <v/>
      </c>
      <c r="G94" s="4">
        <v>93</v>
      </c>
    </row>
    <row r="95" spans="1:7">
      <c r="A95" s="30" t="str">
        <f>IF(POR_TEMPLATE!B127="","",POR_TEMPLATE!B127)</f>
        <v/>
      </c>
      <c r="B95" s="30" t="str">
        <f>IF(POR_TEMPLATE!D127="","",POR_TEMPLATE!D127)</f>
        <v/>
      </c>
      <c r="C95" s="30" t="str">
        <f>IF(POR_TEMPLATE!G127="","",POR_TEMPLATE!G127)</f>
        <v/>
      </c>
      <c r="D95" s="30" t="str">
        <f>IF(POR_TEMPLATE!N127="","",POR_TEMPLATE!N127)</f>
        <v/>
      </c>
      <c r="E95" s="30" t="str">
        <f>IF(POR_TEMPLATE!Q127="","",POR_TEMPLATE!Q127)</f>
        <v/>
      </c>
      <c r="F95" s="30" t="str">
        <f>IF(POR_TEMPLATE!S127="","",POR_TEMPLATE!S127)</f>
        <v/>
      </c>
      <c r="G95" s="4">
        <v>94</v>
      </c>
    </row>
    <row r="96" spans="1:7">
      <c r="A96" s="30" t="str">
        <f>IF(POR_TEMPLATE!B128="","",POR_TEMPLATE!B128)</f>
        <v/>
      </c>
      <c r="B96" s="30" t="str">
        <f>IF(POR_TEMPLATE!D128="","",POR_TEMPLATE!D128)</f>
        <v/>
      </c>
      <c r="C96" s="30" t="str">
        <f>IF(POR_TEMPLATE!G128="","",POR_TEMPLATE!G128)</f>
        <v/>
      </c>
      <c r="D96" s="30" t="str">
        <f>IF(POR_TEMPLATE!N128="","",POR_TEMPLATE!N128)</f>
        <v/>
      </c>
      <c r="E96" s="30" t="str">
        <f>IF(POR_TEMPLATE!Q128="","",POR_TEMPLATE!Q128)</f>
        <v/>
      </c>
      <c r="F96" s="30" t="str">
        <f>IF(POR_TEMPLATE!S128="","",POR_TEMPLATE!S128)</f>
        <v/>
      </c>
      <c r="G96" s="4">
        <v>95</v>
      </c>
    </row>
    <row r="97" spans="1:7">
      <c r="A97" s="30" t="str">
        <f>IF(POR_TEMPLATE!B129="","",POR_TEMPLATE!B129)</f>
        <v/>
      </c>
      <c r="B97" s="30" t="str">
        <f>IF(POR_TEMPLATE!D129="","",POR_TEMPLATE!D129)</f>
        <v/>
      </c>
      <c r="C97" s="30" t="str">
        <f>IF(POR_TEMPLATE!G129="","",POR_TEMPLATE!G129)</f>
        <v/>
      </c>
      <c r="D97" s="30" t="str">
        <f>IF(POR_TEMPLATE!N129="","",POR_TEMPLATE!N129)</f>
        <v/>
      </c>
      <c r="E97" s="30" t="str">
        <f>IF(POR_TEMPLATE!Q129="","",POR_TEMPLATE!Q129)</f>
        <v/>
      </c>
      <c r="F97" s="30" t="str">
        <f>IF(POR_TEMPLATE!S129="","",POR_TEMPLATE!S129)</f>
        <v/>
      </c>
      <c r="G97" s="4">
        <v>96</v>
      </c>
    </row>
    <row r="98" spans="1:7">
      <c r="A98" s="30" t="str">
        <f>IF(POR_TEMPLATE!B130="","",POR_TEMPLATE!B130)</f>
        <v/>
      </c>
      <c r="B98" s="30" t="str">
        <f>IF(POR_TEMPLATE!D130="","",POR_TEMPLATE!D130)</f>
        <v/>
      </c>
      <c r="C98" s="30" t="str">
        <f>IF(POR_TEMPLATE!G130="","",POR_TEMPLATE!G130)</f>
        <v/>
      </c>
      <c r="D98" s="30" t="str">
        <f>IF(POR_TEMPLATE!N130="","",POR_TEMPLATE!N130)</f>
        <v/>
      </c>
      <c r="E98" s="30" t="str">
        <f>IF(POR_TEMPLATE!Q130="","",POR_TEMPLATE!Q130)</f>
        <v/>
      </c>
      <c r="F98" s="30" t="str">
        <f>IF(POR_TEMPLATE!S130="","",POR_TEMPLATE!S130)</f>
        <v/>
      </c>
      <c r="G98" s="4">
        <v>97</v>
      </c>
    </row>
    <row r="99" spans="1:7">
      <c r="A99" s="30" t="str">
        <f>IF(POR_TEMPLATE!B131="","",POR_TEMPLATE!B131)</f>
        <v/>
      </c>
      <c r="B99" s="30" t="str">
        <f>IF(POR_TEMPLATE!D131="","",POR_TEMPLATE!D131)</f>
        <v/>
      </c>
      <c r="C99" s="30" t="str">
        <f>IF(POR_TEMPLATE!G131="","",POR_TEMPLATE!G131)</f>
        <v/>
      </c>
      <c r="D99" s="30" t="str">
        <f>IF(POR_TEMPLATE!N131="","",POR_TEMPLATE!N131)</f>
        <v/>
      </c>
      <c r="E99" s="30" t="str">
        <f>IF(POR_TEMPLATE!Q131="","",POR_TEMPLATE!Q131)</f>
        <v/>
      </c>
      <c r="F99" s="30" t="str">
        <f>IF(POR_TEMPLATE!S131="","",POR_TEMPLATE!S131)</f>
        <v/>
      </c>
      <c r="G99" s="4">
        <v>98</v>
      </c>
    </row>
    <row r="100" spans="1:7">
      <c r="A100" s="30" t="str">
        <f>IF(POR_TEMPLATE!B132="","",POR_TEMPLATE!B132)</f>
        <v/>
      </c>
      <c r="B100" s="30" t="str">
        <f>IF(POR_TEMPLATE!D132="","",POR_TEMPLATE!D132)</f>
        <v/>
      </c>
      <c r="C100" s="30" t="str">
        <f>IF(POR_TEMPLATE!G132="","",POR_TEMPLATE!G132)</f>
        <v/>
      </c>
      <c r="D100" s="30" t="str">
        <f>IF(POR_TEMPLATE!N132="","",POR_TEMPLATE!N132)</f>
        <v/>
      </c>
      <c r="E100" s="30" t="str">
        <f>IF(POR_TEMPLATE!Q132="","",POR_TEMPLATE!Q132)</f>
        <v/>
      </c>
      <c r="F100" s="30" t="str">
        <f>IF(POR_TEMPLATE!S132="","",POR_TEMPLATE!S132)</f>
        <v/>
      </c>
      <c r="G100" s="4">
        <v>99</v>
      </c>
    </row>
    <row r="101" spans="1:7">
      <c r="A101" s="30" t="str">
        <f>IF(POR_TEMPLATE!B133="","",POR_TEMPLATE!B133)</f>
        <v/>
      </c>
      <c r="B101" s="30" t="str">
        <f>IF(POR_TEMPLATE!D133="","",POR_TEMPLATE!D133)</f>
        <v/>
      </c>
      <c r="C101" s="30" t="str">
        <f>IF(POR_TEMPLATE!G133="","",POR_TEMPLATE!G133)</f>
        <v/>
      </c>
      <c r="D101" s="30" t="str">
        <f>IF(POR_TEMPLATE!N133="","",POR_TEMPLATE!N133)</f>
        <v/>
      </c>
      <c r="E101" s="30" t="str">
        <f>IF(POR_TEMPLATE!Q133="","",POR_TEMPLATE!Q133)</f>
        <v/>
      </c>
      <c r="F101" s="30" t="str">
        <f>IF(POR_TEMPLATE!S133="","",POR_TEMPLATE!S133)</f>
        <v/>
      </c>
      <c r="G101" s="4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21" sqref="G21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POR_TEMPLATE</vt:lpstr>
      <vt:lpstr>WH_List</vt:lpstr>
      <vt:lpstr>Item_List</vt:lpstr>
      <vt:lpstr>Raw_ShipInfo</vt:lpstr>
      <vt:lpstr>Raw_ItemInfo</vt:lpstr>
      <vt:lpstr>Sheet1</vt:lpstr>
      <vt:lpstr>Items</vt:lpstr>
      <vt:lpstr>tbl_POR_Info</vt:lpstr>
      <vt:lpstr>tbl_POR_Items</vt:lpstr>
      <vt:lpstr>WORG</vt:lpstr>
      <vt:lpstr>WORG_TABLE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malarin</dc:creator>
  <cp:lastModifiedBy>jbitbit</cp:lastModifiedBy>
  <dcterms:created xsi:type="dcterms:W3CDTF">2011-07-26T22:08:10Z</dcterms:created>
  <dcterms:modified xsi:type="dcterms:W3CDTF">2013-01-22T19:21:57Z</dcterms:modified>
</cp:coreProperties>
</file>